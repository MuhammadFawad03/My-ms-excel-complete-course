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 tabRatio="582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12" i="1" l="1"/>
  <c r="O8" i="1"/>
  <c r="O9" i="1"/>
  <c r="O10" i="1"/>
  <c r="O11" i="1"/>
  <c r="O13" i="1"/>
  <c r="O14" i="1"/>
  <c r="O15" i="1"/>
  <c r="O16" i="1"/>
  <c r="O7" i="1"/>
  <c r="Q32" i="1" l="1"/>
  <c r="O32" i="1"/>
  <c r="R32" i="1" s="1"/>
  <c r="Q31" i="1"/>
  <c r="O31" i="1"/>
  <c r="R31" i="1" s="1"/>
  <c r="Q30" i="1"/>
  <c r="O30" i="1"/>
  <c r="R30" i="1" s="1"/>
  <c r="Q29" i="1"/>
  <c r="O29" i="1"/>
  <c r="R29" i="1" s="1"/>
  <c r="Q28" i="1"/>
  <c r="O28" i="1"/>
  <c r="R28" i="1" s="1"/>
  <c r="Q27" i="1"/>
  <c r="O27" i="1"/>
  <c r="R27" i="1" s="1"/>
  <c r="Q26" i="1"/>
  <c r="O26" i="1"/>
  <c r="R26" i="1" s="1"/>
  <c r="Q25" i="1"/>
  <c r="O25" i="1"/>
  <c r="R25" i="1" s="1"/>
  <c r="Q24" i="1"/>
  <c r="O24" i="1"/>
  <c r="R24" i="1" s="1"/>
  <c r="Q23" i="1"/>
  <c r="O23" i="1"/>
  <c r="R23" i="1" s="1"/>
  <c r="Q8" i="1"/>
  <c r="Q9" i="1"/>
  <c r="Q10" i="1"/>
  <c r="Q11" i="1"/>
  <c r="Q12" i="1"/>
  <c r="Q13" i="1"/>
  <c r="Q14" i="1"/>
  <c r="Q15" i="1"/>
  <c r="Q16" i="1"/>
  <c r="Q7" i="1"/>
  <c r="R8" i="1"/>
  <c r="R9" i="1"/>
  <c r="R10" i="1"/>
  <c r="R11" i="1"/>
  <c r="R12" i="1"/>
  <c r="R13" i="1"/>
  <c r="R14" i="1"/>
  <c r="R15" i="1"/>
  <c r="R16" i="1"/>
  <c r="R7" i="1"/>
</calcChain>
</file>

<file path=xl/sharedStrings.xml><?xml version="1.0" encoding="utf-8"?>
<sst xmlns="http://schemas.openxmlformats.org/spreadsheetml/2006/main" count="81" uniqueCount="39">
  <si>
    <t>Name</t>
  </si>
  <si>
    <t>Class</t>
  </si>
  <si>
    <t>Roll No</t>
  </si>
  <si>
    <t>F/Name</t>
  </si>
  <si>
    <t>obsenties</t>
  </si>
  <si>
    <t>present</t>
  </si>
  <si>
    <t>Date</t>
  </si>
  <si>
    <t>Fawad</t>
  </si>
  <si>
    <t>Hammad</t>
  </si>
  <si>
    <t>Salman</t>
  </si>
  <si>
    <t>Ahmad</t>
  </si>
  <si>
    <t>Aslam</t>
  </si>
  <si>
    <t>Akram</t>
  </si>
  <si>
    <t>Safir</t>
  </si>
  <si>
    <t>Sufiyan</t>
  </si>
  <si>
    <t>Zeshan</t>
  </si>
  <si>
    <t>javed</t>
  </si>
  <si>
    <t>siyal</t>
  </si>
  <si>
    <t>sattar</t>
  </si>
  <si>
    <t>Jamal</t>
  </si>
  <si>
    <t>Ikram</t>
  </si>
  <si>
    <t>Hayat</t>
  </si>
  <si>
    <t>Umar</t>
  </si>
  <si>
    <t>farooq</t>
  </si>
  <si>
    <t>1st year</t>
  </si>
  <si>
    <t>%age</t>
  </si>
  <si>
    <t>Fine</t>
  </si>
  <si>
    <t xml:space="preserve">GHSS TAJAZAI COLAGE  LAKKI MARWAT
CLASS 1ST YEAR 
FEBURVERY MONTHS FINE 
</t>
  </si>
  <si>
    <t>Farhad</t>
  </si>
  <si>
    <t>Javed</t>
  </si>
  <si>
    <t>Sahar</t>
  </si>
  <si>
    <t>Ufaz</t>
  </si>
  <si>
    <t>Imdad</t>
  </si>
  <si>
    <t xml:space="preserve">GHSS TAJAZAI COLAGE  LAKKI MARWAT
CLASS 2ND Year
</t>
  </si>
  <si>
    <t>hj</t>
  </si>
  <si>
    <t>Badshah</t>
  </si>
  <si>
    <t>Jamali</t>
  </si>
  <si>
    <t>Badsi</t>
  </si>
  <si>
    <t>Hosib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</si>
</sst>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15" fontId="0" fillId="4" borderId="6" xfId="0" applyNumberFormat="1" applyFill="1" applyBorder="1"/>
    <xf numFmtId="9" fontId="0" fillId="4" borderId="6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10" xfId="0" applyFill="1" applyBorder="1" applyAlignment="1">
      <alignment horizontal="center"/>
    </xf>
    <xf numFmtId="15" fontId="0" fillId="4" borderId="10" xfId="0" applyNumberFormat="1" applyFill="1" applyBorder="1"/>
    <xf numFmtId="9" fontId="0" fillId="4" borderId="10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15" fontId="0" fillId="4" borderId="14" xfId="0" applyNumberFormat="1" applyFill="1" applyBorder="1"/>
    <xf numFmtId="9" fontId="0" fillId="4" borderId="14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41"/>
  <sheetViews>
    <sheetView tabSelected="1" topLeftCell="E1" zoomScaleNormal="100" workbookViewId="0">
      <selection activeCell="S18" sqref="S18"/>
    </sheetView>
  </sheetViews>
  <sheetFormatPr defaultRowHeight="15" x14ac:dyDescent="0.25"/>
  <cols>
    <col min="1" max="1" width="7.42578125" style="1" bestFit="1" customWidth="1"/>
    <col min="5" max="5" width="10.28515625" style="1" bestFit="1" customWidth="1"/>
    <col min="6" max="6" width="8.42578125" style="1" bestFit="1" customWidth="1"/>
    <col min="8" max="8" width="10.140625" style="1" bestFit="1" customWidth="1"/>
    <col min="9" max="9" width="9.140625" style="1"/>
    <col min="14" max="14" width="10.28515625" bestFit="1" customWidth="1"/>
    <col min="15" max="15" width="8.42578125" bestFit="1" customWidth="1"/>
    <col min="16" max="16" width="9.85546875" bestFit="1" customWidth="1"/>
    <col min="17" max="17" width="6.140625" bestFit="1" customWidth="1"/>
    <col min="18" max="18" width="5" bestFit="1" customWidth="1"/>
    <col min="19" max="22" width="5" customWidth="1"/>
    <col min="23" max="23" width="8.140625" bestFit="1" customWidth="1"/>
    <col min="24" max="24" width="8.85546875" bestFit="1" customWidth="1"/>
    <col min="25" max="25" width="8.7109375" bestFit="1" customWidth="1"/>
    <col min="26" max="26" width="7.85546875" bestFit="1" customWidth="1"/>
    <col min="27" max="27" width="10.28515625" bestFit="1" customWidth="1"/>
    <col min="28" max="28" width="8.42578125" bestFit="1" customWidth="1"/>
    <col min="29" max="29" width="8.7109375" bestFit="1" customWidth="1"/>
    <col min="30" max="30" width="6.140625" bestFit="1" customWidth="1"/>
    <col min="31" max="31" width="5" bestFit="1" customWidth="1"/>
  </cols>
  <sheetData>
    <row r="2" spans="1:31" ht="15.75" thickBot="1" x14ac:dyDescent="0.3"/>
    <row r="3" spans="1:31" ht="15" customHeight="1" x14ac:dyDescent="0.25">
      <c r="J3" s="25" t="s">
        <v>27</v>
      </c>
      <c r="K3" s="26"/>
      <c r="L3" s="26"/>
      <c r="M3" s="26"/>
      <c r="N3" s="26"/>
      <c r="O3" s="26"/>
      <c r="P3" s="26"/>
      <c r="Q3" s="26"/>
      <c r="R3" s="27"/>
      <c r="W3" s="24"/>
      <c r="X3" s="24"/>
      <c r="Y3" s="24"/>
      <c r="Z3" s="24"/>
      <c r="AA3" s="24"/>
      <c r="AB3" s="24"/>
      <c r="AC3" s="24"/>
      <c r="AD3" s="24"/>
      <c r="AE3" s="24"/>
    </row>
    <row r="4" spans="1:31" ht="15" customHeight="1" x14ac:dyDescent="0.25">
      <c r="J4" s="28"/>
      <c r="K4" s="29"/>
      <c r="L4" s="29"/>
      <c r="M4" s="29"/>
      <c r="N4" s="29"/>
      <c r="O4" s="29"/>
      <c r="P4" s="29"/>
      <c r="Q4" s="29"/>
      <c r="R4" s="30"/>
      <c r="W4" s="24"/>
      <c r="X4" s="24"/>
      <c r="Y4" s="24"/>
      <c r="Z4" s="24"/>
      <c r="AA4" s="24"/>
      <c r="AB4" s="24"/>
      <c r="AC4" s="24"/>
      <c r="AD4" s="24"/>
      <c r="AE4" s="24"/>
    </row>
    <row r="5" spans="1:31" ht="15" customHeight="1" thickBot="1" x14ac:dyDescent="0.3">
      <c r="J5" s="31"/>
      <c r="K5" s="32"/>
      <c r="L5" s="32"/>
      <c r="M5" s="32"/>
      <c r="N5" s="32"/>
      <c r="O5" s="32"/>
      <c r="P5" s="32"/>
      <c r="Q5" s="32"/>
      <c r="R5" s="33"/>
      <c r="W5" s="24"/>
      <c r="X5" s="24"/>
      <c r="Y5" s="24"/>
      <c r="Z5" s="24"/>
      <c r="AA5" s="24"/>
      <c r="AB5" s="24"/>
      <c r="AC5" s="24"/>
      <c r="AD5" s="24"/>
      <c r="AE5" s="24"/>
    </row>
    <row r="6" spans="1:31" ht="15.75" thickBot="1" x14ac:dyDescent="0.3">
      <c r="A6"/>
      <c r="E6"/>
      <c r="F6"/>
      <c r="H6"/>
      <c r="I6"/>
      <c r="J6" s="20" t="s">
        <v>2</v>
      </c>
      <c r="K6" s="20" t="s">
        <v>0</v>
      </c>
      <c r="L6" s="20" t="s">
        <v>3</v>
      </c>
      <c r="M6" s="20" t="s">
        <v>1</v>
      </c>
      <c r="N6" s="20" t="s">
        <v>4</v>
      </c>
      <c r="O6" s="20" t="s">
        <v>5</v>
      </c>
      <c r="P6" s="20" t="s">
        <v>6</v>
      </c>
      <c r="Q6" s="20" t="s">
        <v>25</v>
      </c>
      <c r="R6" s="20" t="s">
        <v>26</v>
      </c>
    </row>
    <row r="7" spans="1:31" x14ac:dyDescent="0.25">
      <c r="J7" s="14">
        <v>1</v>
      </c>
      <c r="K7" s="15" t="s">
        <v>7</v>
      </c>
      <c r="L7" s="15" t="s">
        <v>17</v>
      </c>
      <c r="M7" s="15" t="s">
        <v>24</v>
      </c>
      <c r="N7" s="16">
        <v>28</v>
      </c>
      <c r="O7" s="16">
        <f>30-N7</f>
        <v>2</v>
      </c>
      <c r="P7" s="17">
        <v>45728</v>
      </c>
      <c r="Q7" s="18">
        <f>N7/30</f>
        <v>0.93333333333333335</v>
      </c>
      <c r="R7" s="19">
        <f>O7*10</f>
        <v>20</v>
      </c>
    </row>
    <row r="8" spans="1:31" x14ac:dyDescent="0.25">
      <c r="J8" s="6">
        <v>2</v>
      </c>
      <c r="K8" s="3" t="s">
        <v>8</v>
      </c>
      <c r="L8" s="3" t="s">
        <v>35</v>
      </c>
      <c r="M8" s="3" t="s">
        <v>24</v>
      </c>
      <c r="N8" s="2">
        <v>23</v>
      </c>
      <c r="O8" s="16">
        <f t="shared" ref="O8:O16" si="0">30-N8</f>
        <v>7</v>
      </c>
      <c r="P8" s="17">
        <v>45729</v>
      </c>
      <c r="Q8" s="5">
        <f t="shared" ref="Q8:Q16" si="1">N8/30</f>
        <v>0.76666666666666672</v>
      </c>
      <c r="R8" s="7">
        <f t="shared" ref="R8:R16" si="2">O8*10</f>
        <v>70</v>
      </c>
    </row>
    <row r="9" spans="1:31" x14ac:dyDescent="0.25">
      <c r="J9" s="6">
        <v>3</v>
      </c>
      <c r="K9" s="3" t="s">
        <v>9</v>
      </c>
      <c r="L9" s="3" t="s">
        <v>36</v>
      </c>
      <c r="M9" s="3" t="s">
        <v>24</v>
      </c>
      <c r="N9" s="2">
        <v>25</v>
      </c>
      <c r="O9" s="16">
        <f t="shared" si="0"/>
        <v>5</v>
      </c>
      <c r="P9" s="17">
        <v>45730</v>
      </c>
      <c r="Q9" s="5">
        <f t="shared" si="1"/>
        <v>0.83333333333333337</v>
      </c>
      <c r="R9" s="7">
        <f t="shared" si="2"/>
        <v>50</v>
      </c>
    </row>
    <row r="10" spans="1:31" x14ac:dyDescent="0.25">
      <c r="J10" s="6">
        <v>4</v>
      </c>
      <c r="K10" s="3" t="s">
        <v>10</v>
      </c>
      <c r="L10" s="3" t="s">
        <v>18</v>
      </c>
      <c r="M10" s="3" t="s">
        <v>24</v>
      </c>
      <c r="N10" s="2">
        <v>27</v>
      </c>
      <c r="O10" s="16">
        <f t="shared" si="0"/>
        <v>3</v>
      </c>
      <c r="P10" s="17">
        <v>45731</v>
      </c>
      <c r="Q10" s="5">
        <f t="shared" si="1"/>
        <v>0.9</v>
      </c>
      <c r="R10" s="7">
        <f t="shared" si="2"/>
        <v>30</v>
      </c>
    </row>
    <row r="11" spans="1:31" x14ac:dyDescent="0.25">
      <c r="J11" s="6">
        <v>5</v>
      </c>
      <c r="K11" s="3" t="s">
        <v>11</v>
      </c>
      <c r="L11" s="3" t="s">
        <v>19</v>
      </c>
      <c r="M11" s="3" t="s">
        <v>24</v>
      </c>
      <c r="N11" s="2">
        <v>26</v>
      </c>
      <c r="O11" s="16">
        <f t="shared" si="0"/>
        <v>4</v>
      </c>
      <c r="P11" s="17">
        <v>45732</v>
      </c>
      <c r="Q11" s="5">
        <f t="shared" si="1"/>
        <v>0.8666666666666667</v>
      </c>
      <c r="R11" s="7">
        <f t="shared" si="2"/>
        <v>40</v>
      </c>
    </row>
    <row r="12" spans="1:31" x14ac:dyDescent="0.25">
      <c r="J12" s="6">
        <v>6</v>
      </c>
      <c r="K12" s="3" t="s">
        <v>12</v>
      </c>
      <c r="L12" s="3" t="s">
        <v>20</v>
      </c>
      <c r="M12" s="3" t="s">
        <v>24</v>
      </c>
      <c r="N12" s="2">
        <v>12</v>
      </c>
      <c r="O12" s="16">
        <f>30-N12</f>
        <v>18</v>
      </c>
      <c r="P12" s="17">
        <v>45733</v>
      </c>
      <c r="Q12" s="5">
        <f t="shared" si="1"/>
        <v>0.4</v>
      </c>
      <c r="R12" s="7">
        <f t="shared" si="2"/>
        <v>180</v>
      </c>
    </row>
    <row r="13" spans="1:31" x14ac:dyDescent="0.25">
      <c r="J13" s="6">
        <v>7</v>
      </c>
      <c r="K13" s="3" t="s">
        <v>13</v>
      </c>
      <c r="L13" s="3" t="s">
        <v>21</v>
      </c>
      <c r="M13" s="3" t="s">
        <v>24</v>
      </c>
      <c r="N13" s="2">
        <v>23</v>
      </c>
      <c r="O13" s="16">
        <f t="shared" si="0"/>
        <v>7</v>
      </c>
      <c r="P13" s="17">
        <v>45734</v>
      </c>
      <c r="Q13" s="5">
        <f t="shared" si="1"/>
        <v>0.76666666666666672</v>
      </c>
      <c r="R13" s="7">
        <f t="shared" si="2"/>
        <v>70</v>
      </c>
    </row>
    <row r="14" spans="1:31" x14ac:dyDescent="0.25">
      <c r="J14" s="6">
        <v>8</v>
      </c>
      <c r="K14" s="3" t="s">
        <v>14</v>
      </c>
      <c r="L14" s="3" t="s">
        <v>17</v>
      </c>
      <c r="M14" s="3" t="s">
        <v>24</v>
      </c>
      <c r="N14" s="2">
        <v>12</v>
      </c>
      <c r="O14" s="16">
        <f t="shared" si="0"/>
        <v>18</v>
      </c>
      <c r="P14" s="17">
        <v>45735</v>
      </c>
      <c r="Q14" s="5">
        <f t="shared" si="1"/>
        <v>0.4</v>
      </c>
      <c r="R14" s="7">
        <f>O14*10</f>
        <v>180</v>
      </c>
    </row>
    <row r="15" spans="1:31" x14ac:dyDescent="0.25">
      <c r="J15" s="6">
        <v>9</v>
      </c>
      <c r="K15" s="3" t="s">
        <v>15</v>
      </c>
      <c r="L15" s="3" t="s">
        <v>22</v>
      </c>
      <c r="M15" s="3" t="s">
        <v>24</v>
      </c>
      <c r="N15" s="2">
        <v>30</v>
      </c>
      <c r="O15" s="16">
        <f t="shared" si="0"/>
        <v>0</v>
      </c>
      <c r="P15" s="17">
        <v>45736</v>
      </c>
      <c r="Q15" s="5">
        <f t="shared" si="1"/>
        <v>1</v>
      </c>
      <c r="R15" s="7">
        <f t="shared" si="2"/>
        <v>0</v>
      </c>
    </row>
    <row r="16" spans="1:31" ht="15.75" thickBot="1" x14ac:dyDescent="0.3">
      <c r="J16" s="8">
        <v>10</v>
      </c>
      <c r="K16" s="9" t="s">
        <v>16</v>
      </c>
      <c r="L16" s="9" t="s">
        <v>23</v>
      </c>
      <c r="M16" s="9" t="s">
        <v>24</v>
      </c>
      <c r="N16" s="10">
        <v>21</v>
      </c>
      <c r="O16" s="16">
        <f t="shared" si="0"/>
        <v>9</v>
      </c>
      <c r="P16" s="17">
        <v>45737</v>
      </c>
      <c r="Q16" s="12">
        <f t="shared" si="1"/>
        <v>0.7</v>
      </c>
      <c r="R16" s="13">
        <f t="shared" si="2"/>
        <v>90</v>
      </c>
    </row>
    <row r="18" spans="10:32" ht="31.5" customHeight="1" thickBot="1" x14ac:dyDescent="0.3">
      <c r="J18" s="1"/>
      <c r="N18" s="1"/>
      <c r="O18" s="1"/>
      <c r="Q18" s="1"/>
      <c r="R18" s="1"/>
    </row>
    <row r="19" spans="10:32" ht="15" customHeight="1" x14ac:dyDescent="0.25">
      <c r="J19" s="25" t="s">
        <v>33</v>
      </c>
      <c r="K19" s="26"/>
      <c r="L19" s="26"/>
      <c r="M19" s="26"/>
      <c r="N19" s="26"/>
      <c r="O19" s="26"/>
      <c r="P19" s="26"/>
      <c r="Q19" s="26"/>
      <c r="R19" s="27"/>
      <c r="W19" s="24"/>
      <c r="X19" s="24"/>
      <c r="Y19" s="24"/>
      <c r="Z19" s="24"/>
      <c r="AA19" s="24"/>
      <c r="AB19" s="24"/>
      <c r="AC19" s="24"/>
      <c r="AD19" s="24"/>
      <c r="AE19" s="24"/>
    </row>
    <row r="20" spans="10:32" ht="15" customHeight="1" x14ac:dyDescent="0.25">
      <c r="J20" s="28"/>
      <c r="K20" s="29"/>
      <c r="L20" s="29"/>
      <c r="M20" s="29"/>
      <c r="N20" s="29"/>
      <c r="O20" s="29"/>
      <c r="P20" s="29"/>
      <c r="Q20" s="29"/>
      <c r="R20" s="30"/>
      <c r="W20" s="24"/>
      <c r="X20" s="24"/>
      <c r="Y20" s="24"/>
      <c r="Z20" s="24"/>
      <c r="AA20" s="24"/>
      <c r="AB20" s="24"/>
      <c r="AC20" s="24"/>
      <c r="AD20" s="24"/>
      <c r="AE20" s="24"/>
    </row>
    <row r="21" spans="10:32" ht="16.5" customHeight="1" thickBot="1" x14ac:dyDescent="0.3">
      <c r="J21" s="28"/>
      <c r="K21" s="29"/>
      <c r="L21" s="29"/>
      <c r="M21" s="29"/>
      <c r="N21" s="29"/>
      <c r="O21" s="29"/>
      <c r="P21" s="29"/>
      <c r="Q21" s="29"/>
      <c r="R21" s="30"/>
      <c r="W21" s="24"/>
      <c r="X21" s="24"/>
      <c r="Y21" s="24"/>
      <c r="Z21" s="24"/>
      <c r="AA21" s="24"/>
      <c r="AB21" s="24"/>
      <c r="AC21" s="24"/>
      <c r="AD21" s="24"/>
      <c r="AE21" s="24"/>
    </row>
    <row r="22" spans="10:32" s="1" customFormat="1" ht="15.75" thickBot="1" x14ac:dyDescent="0.3">
      <c r="J22" s="21" t="s">
        <v>2</v>
      </c>
      <c r="K22" s="21" t="s">
        <v>0</v>
      </c>
      <c r="L22" s="21" t="s">
        <v>3</v>
      </c>
      <c r="M22" s="21" t="s">
        <v>1</v>
      </c>
      <c r="N22" s="21" t="s">
        <v>4</v>
      </c>
      <c r="O22" s="21" t="s">
        <v>5</v>
      </c>
      <c r="P22" s="21" t="s">
        <v>6</v>
      </c>
      <c r="Q22" s="21" t="s">
        <v>25</v>
      </c>
      <c r="R22" s="21" t="s">
        <v>26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0:32" x14ac:dyDescent="0.25">
      <c r="J23" s="6">
        <v>1</v>
      </c>
      <c r="K23" s="3" t="s">
        <v>28</v>
      </c>
      <c r="L23" s="3" t="s">
        <v>37</v>
      </c>
      <c r="M23" s="3" t="s">
        <v>24</v>
      </c>
      <c r="N23" s="2">
        <v>23</v>
      </c>
      <c r="O23" s="2">
        <f>30-N23</f>
        <v>7</v>
      </c>
      <c r="P23" s="4">
        <v>45691</v>
      </c>
      <c r="Q23" s="5">
        <f>N23/30</f>
        <v>0.76666666666666672</v>
      </c>
      <c r="R23" s="7">
        <f>O23*10</f>
        <v>70</v>
      </c>
    </row>
    <row r="24" spans="10:32" x14ac:dyDescent="0.25">
      <c r="J24" s="6">
        <v>2</v>
      </c>
      <c r="K24" s="3" t="s">
        <v>22</v>
      </c>
      <c r="L24" s="3" t="s">
        <v>17</v>
      </c>
      <c r="M24" s="3" t="s">
        <v>24</v>
      </c>
      <c r="N24" s="2">
        <v>23</v>
      </c>
      <c r="O24" s="2">
        <f t="shared" ref="O24:O32" si="3">30-N24</f>
        <v>7</v>
      </c>
      <c r="P24" s="4">
        <v>45691</v>
      </c>
      <c r="Q24" s="5">
        <f t="shared" ref="Q24:Q32" si="4">N24/30</f>
        <v>0.76666666666666672</v>
      </c>
      <c r="R24" s="7">
        <f t="shared" ref="R24:R32" si="5">O24*10</f>
        <v>70</v>
      </c>
    </row>
    <row r="25" spans="10:32" x14ac:dyDescent="0.25">
      <c r="J25" s="6">
        <v>3</v>
      </c>
      <c r="K25" s="3" t="s">
        <v>19</v>
      </c>
      <c r="L25" s="3" t="s">
        <v>38</v>
      </c>
      <c r="M25" s="3" t="s">
        <v>24</v>
      </c>
      <c r="N25" s="2">
        <v>19</v>
      </c>
      <c r="O25" s="2">
        <f t="shared" si="3"/>
        <v>11</v>
      </c>
      <c r="P25" s="4">
        <v>45691</v>
      </c>
      <c r="Q25" s="5">
        <f t="shared" si="4"/>
        <v>0.6333333333333333</v>
      </c>
      <c r="R25" s="7">
        <f t="shared" si="5"/>
        <v>110</v>
      </c>
    </row>
    <row r="26" spans="10:32" x14ac:dyDescent="0.25">
      <c r="J26" s="6">
        <v>4</v>
      </c>
      <c r="K26" s="3" t="s">
        <v>29</v>
      </c>
      <c r="L26" s="3" t="s">
        <v>18</v>
      </c>
      <c r="M26" s="3" t="s">
        <v>24</v>
      </c>
      <c r="N26" s="2">
        <v>27</v>
      </c>
      <c r="O26" s="2">
        <f t="shared" si="3"/>
        <v>3</v>
      </c>
      <c r="P26" s="4">
        <v>45691</v>
      </c>
      <c r="Q26" s="5">
        <f t="shared" si="4"/>
        <v>0.9</v>
      </c>
      <c r="R26" s="7">
        <f t="shared" si="5"/>
        <v>30</v>
      </c>
    </row>
    <row r="27" spans="10:32" x14ac:dyDescent="0.25">
      <c r="J27" s="6">
        <v>5</v>
      </c>
      <c r="K27" s="3" t="s">
        <v>11</v>
      </c>
      <c r="L27" s="3" t="s">
        <v>19</v>
      </c>
      <c r="M27" s="3" t="s">
        <v>24</v>
      </c>
      <c r="N27" s="2">
        <v>28</v>
      </c>
      <c r="O27" s="2">
        <f t="shared" si="3"/>
        <v>2</v>
      </c>
      <c r="P27" s="4">
        <v>45691</v>
      </c>
      <c r="Q27" s="5">
        <f t="shared" si="4"/>
        <v>0.93333333333333335</v>
      </c>
      <c r="R27" s="7">
        <f t="shared" si="5"/>
        <v>20</v>
      </c>
    </row>
    <row r="28" spans="10:32" x14ac:dyDescent="0.25">
      <c r="J28" s="6">
        <v>6</v>
      </c>
      <c r="K28" s="3" t="s">
        <v>30</v>
      </c>
      <c r="L28" s="3" t="s">
        <v>20</v>
      </c>
      <c r="M28" s="3" t="s">
        <v>24</v>
      </c>
      <c r="N28" s="2">
        <v>25</v>
      </c>
      <c r="O28" s="2">
        <f t="shared" si="3"/>
        <v>5</v>
      </c>
      <c r="P28" s="4">
        <v>45691</v>
      </c>
      <c r="Q28" s="5">
        <f t="shared" si="4"/>
        <v>0.83333333333333337</v>
      </c>
      <c r="R28" s="7">
        <f t="shared" si="5"/>
        <v>50</v>
      </c>
    </row>
    <row r="29" spans="10:32" x14ac:dyDescent="0.25">
      <c r="J29" s="6">
        <v>7</v>
      </c>
      <c r="K29" s="3" t="s">
        <v>31</v>
      </c>
      <c r="L29" s="3" t="s">
        <v>21</v>
      </c>
      <c r="M29" s="3" t="s">
        <v>24</v>
      </c>
      <c r="N29" s="2">
        <v>29</v>
      </c>
      <c r="O29" s="2">
        <f t="shared" si="3"/>
        <v>1</v>
      </c>
      <c r="P29" s="4">
        <v>45691</v>
      </c>
      <c r="Q29" s="5">
        <f t="shared" si="4"/>
        <v>0.96666666666666667</v>
      </c>
      <c r="R29" s="7">
        <f t="shared" si="5"/>
        <v>10</v>
      </c>
    </row>
    <row r="30" spans="10:32" x14ac:dyDescent="0.25">
      <c r="J30" s="6">
        <v>8</v>
      </c>
      <c r="K30" s="3" t="s">
        <v>32</v>
      </c>
      <c r="L30" s="3" t="s">
        <v>17</v>
      </c>
      <c r="M30" s="3" t="s">
        <v>24</v>
      </c>
      <c r="N30" s="2">
        <v>30</v>
      </c>
      <c r="O30" s="2">
        <f t="shared" si="3"/>
        <v>0</v>
      </c>
      <c r="P30" s="4">
        <v>45691</v>
      </c>
      <c r="Q30" s="5">
        <f t="shared" si="4"/>
        <v>1</v>
      </c>
      <c r="R30" s="7">
        <f t="shared" si="5"/>
        <v>0</v>
      </c>
    </row>
    <row r="31" spans="10:32" x14ac:dyDescent="0.25">
      <c r="J31" s="6">
        <v>9</v>
      </c>
      <c r="K31" s="3" t="s">
        <v>15</v>
      </c>
      <c r="L31" s="3" t="s">
        <v>22</v>
      </c>
      <c r="M31" s="3" t="s">
        <v>24</v>
      </c>
      <c r="N31" s="2">
        <v>26</v>
      </c>
      <c r="O31" s="2">
        <f t="shared" si="3"/>
        <v>4</v>
      </c>
      <c r="P31" s="4">
        <v>45691</v>
      </c>
      <c r="Q31" s="5">
        <f t="shared" si="4"/>
        <v>0.8666666666666667</v>
      </c>
      <c r="R31" s="7">
        <f t="shared" si="5"/>
        <v>40</v>
      </c>
    </row>
    <row r="32" spans="10:32" ht="15.75" thickBot="1" x14ac:dyDescent="0.3">
      <c r="J32" s="8">
        <v>10</v>
      </c>
      <c r="K32" s="9" t="s">
        <v>16</v>
      </c>
      <c r="L32" s="9" t="s">
        <v>23</v>
      </c>
      <c r="M32" s="9" t="s">
        <v>24</v>
      </c>
      <c r="N32" s="10">
        <v>25</v>
      </c>
      <c r="O32" s="10">
        <f t="shared" si="3"/>
        <v>5</v>
      </c>
      <c r="P32" s="11">
        <v>45691</v>
      </c>
      <c r="Q32" s="12">
        <f t="shared" si="4"/>
        <v>0.83333333333333337</v>
      </c>
      <c r="R32" s="13">
        <f t="shared" si="5"/>
        <v>50</v>
      </c>
    </row>
    <row r="34" spans="10:31" x14ac:dyDescent="0.25">
      <c r="J34" s="22"/>
      <c r="K34" s="22"/>
      <c r="L34" s="22"/>
      <c r="M34" s="22"/>
      <c r="N34" s="22"/>
      <c r="O34" s="22"/>
      <c r="P34" s="22"/>
      <c r="Q34" s="22"/>
      <c r="R34" s="22"/>
    </row>
    <row r="35" spans="10:31" ht="15" customHeight="1" x14ac:dyDescent="0.25">
      <c r="J35" s="23"/>
      <c r="K35" s="23"/>
      <c r="L35" s="23"/>
      <c r="M35" s="23"/>
      <c r="N35" s="23"/>
      <c r="O35" s="23"/>
      <c r="P35" s="23"/>
      <c r="Q35" s="23"/>
      <c r="R35" s="23"/>
      <c r="W35" s="23"/>
      <c r="X35" s="23"/>
      <c r="Y35" s="23"/>
      <c r="Z35" s="23"/>
      <c r="AA35" s="23"/>
      <c r="AB35" s="23"/>
      <c r="AC35" s="23"/>
      <c r="AD35" s="23"/>
      <c r="AE35" s="23"/>
    </row>
    <row r="36" spans="10:31" ht="15" customHeight="1" x14ac:dyDescent="0.25"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spans="10:31" ht="15.75" customHeight="1" x14ac:dyDescent="0.25"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spans="10:31" x14ac:dyDescent="0.25"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0:31" x14ac:dyDescent="0.25">
      <c r="J39" s="22"/>
      <c r="K39" s="22" t="s">
        <v>34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0:31" x14ac:dyDescent="0.25"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0:31" x14ac:dyDescent="0.25"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0:31" x14ac:dyDescent="0.25"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0:31" x14ac:dyDescent="0.25"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0:31" x14ac:dyDescent="0.25"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0:31" x14ac:dyDescent="0.25"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0:31" x14ac:dyDescent="0.25"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0:31" x14ac:dyDescent="0.25"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0:31" x14ac:dyDescent="0.25"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0:31" x14ac:dyDescent="0.25"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0:31" x14ac:dyDescent="0.25"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0:31" x14ac:dyDescent="0.25"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0:31" x14ac:dyDescent="0.25"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0:31" x14ac:dyDescent="0.25"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0:31" x14ac:dyDescent="0.25"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0:31" x14ac:dyDescent="0.25"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0:31" x14ac:dyDescent="0.25"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0:31" x14ac:dyDescent="0.25"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0:31" x14ac:dyDescent="0.25"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0:31" x14ac:dyDescent="0.25"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0:31" x14ac:dyDescent="0.25"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0:31" x14ac:dyDescent="0.25"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0:31" x14ac:dyDescent="0.25"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0:31" x14ac:dyDescent="0.25"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0:31" x14ac:dyDescent="0.25"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0:31" x14ac:dyDescent="0.25"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0:31" x14ac:dyDescent="0.25"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0:31" x14ac:dyDescent="0.25"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0:31" x14ac:dyDescent="0.25"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0:31" x14ac:dyDescent="0.25"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0:31" x14ac:dyDescent="0.25"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0:31" x14ac:dyDescent="0.25"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0:31" x14ac:dyDescent="0.25"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0:31" x14ac:dyDescent="0.25"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0:31" x14ac:dyDescent="0.25"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0:31" x14ac:dyDescent="0.25"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0:31" x14ac:dyDescent="0.25"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0:31" x14ac:dyDescent="0.25"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0:31" x14ac:dyDescent="0.25"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0:31" x14ac:dyDescent="0.25"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0:31" x14ac:dyDescent="0.25"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0:31" x14ac:dyDescent="0.25"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0:31" x14ac:dyDescent="0.25"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0:31" x14ac:dyDescent="0.25"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0:31" x14ac:dyDescent="0.25"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0:31" x14ac:dyDescent="0.25"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0:31" x14ac:dyDescent="0.25"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0:31" x14ac:dyDescent="0.25"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0:31" x14ac:dyDescent="0.25"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0:31" x14ac:dyDescent="0.25"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0:31" x14ac:dyDescent="0.25"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0:31" x14ac:dyDescent="0.25"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0:31" x14ac:dyDescent="0.25"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0:31" x14ac:dyDescent="0.25"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0:31" x14ac:dyDescent="0.25"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0:31" x14ac:dyDescent="0.25"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0:31" x14ac:dyDescent="0.25"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0:31" x14ac:dyDescent="0.25"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0:31" x14ac:dyDescent="0.25"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0:31" x14ac:dyDescent="0.25"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0:31" x14ac:dyDescent="0.25"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0:31" x14ac:dyDescent="0.25"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0:31" x14ac:dyDescent="0.25"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0:31" x14ac:dyDescent="0.25"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0:31" x14ac:dyDescent="0.25"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0:31" x14ac:dyDescent="0.25"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0:31" x14ac:dyDescent="0.25"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0:31" x14ac:dyDescent="0.25"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0:31" x14ac:dyDescent="0.25"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0:31" x14ac:dyDescent="0.25"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0:31" x14ac:dyDescent="0.25"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0:31" x14ac:dyDescent="0.25"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0:31" x14ac:dyDescent="0.25"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0:31" x14ac:dyDescent="0.25"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0:31" x14ac:dyDescent="0.25"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0:31" x14ac:dyDescent="0.25"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0:31" x14ac:dyDescent="0.25"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0:31" x14ac:dyDescent="0.25"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0:31" x14ac:dyDescent="0.25"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0:31" x14ac:dyDescent="0.25"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0:31" x14ac:dyDescent="0.25"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0:31" x14ac:dyDescent="0.25"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0:31" x14ac:dyDescent="0.25"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0:31" x14ac:dyDescent="0.25"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0:31" x14ac:dyDescent="0.25"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0:31" x14ac:dyDescent="0.25"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0:31" x14ac:dyDescent="0.25"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0:31" x14ac:dyDescent="0.25"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0:31" x14ac:dyDescent="0.25"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0:31" x14ac:dyDescent="0.25"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0:31" x14ac:dyDescent="0.25"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0:31" x14ac:dyDescent="0.25"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0:31" x14ac:dyDescent="0.25"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0:31" x14ac:dyDescent="0.25"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0:31" x14ac:dyDescent="0.25"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0:31" x14ac:dyDescent="0.25"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0:31" x14ac:dyDescent="0.25"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0:31" x14ac:dyDescent="0.25"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0:31" x14ac:dyDescent="0.25"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0:31" x14ac:dyDescent="0.25"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0:31" x14ac:dyDescent="0.25"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0:31" x14ac:dyDescent="0.25"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0:31" x14ac:dyDescent="0.25"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0:31" x14ac:dyDescent="0.25"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0:31" x14ac:dyDescent="0.25"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0:31" x14ac:dyDescent="0.25"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0:31" x14ac:dyDescent="0.25"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0:31" x14ac:dyDescent="0.25"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0:31" x14ac:dyDescent="0.25"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0:31" x14ac:dyDescent="0.25"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0:31" x14ac:dyDescent="0.25"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0:31" x14ac:dyDescent="0.25"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0:31" x14ac:dyDescent="0.25"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0:31" x14ac:dyDescent="0.25"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0:31" x14ac:dyDescent="0.25"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0:31" x14ac:dyDescent="0.25"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0:31" x14ac:dyDescent="0.25"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0:31" x14ac:dyDescent="0.25"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0:31" x14ac:dyDescent="0.25"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0:31" x14ac:dyDescent="0.25"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0:31" x14ac:dyDescent="0.25"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0:31" x14ac:dyDescent="0.25"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0:31" x14ac:dyDescent="0.25"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0:31" x14ac:dyDescent="0.25"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0:31" x14ac:dyDescent="0.25"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0:31" x14ac:dyDescent="0.25"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0:31" x14ac:dyDescent="0.25"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0:31" x14ac:dyDescent="0.25"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0:31" x14ac:dyDescent="0.25"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0:31" x14ac:dyDescent="0.25"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0:31" x14ac:dyDescent="0.25"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0:31" x14ac:dyDescent="0.25"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0:31" x14ac:dyDescent="0.25"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0:31" x14ac:dyDescent="0.25"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0:31" x14ac:dyDescent="0.25"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0:31" x14ac:dyDescent="0.25"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0:31" x14ac:dyDescent="0.25"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0:31" x14ac:dyDescent="0.25"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0:31" x14ac:dyDescent="0.25"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0:31" x14ac:dyDescent="0.25"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0:31" x14ac:dyDescent="0.25"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0:31" x14ac:dyDescent="0.25"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0:31" x14ac:dyDescent="0.25"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0:31" x14ac:dyDescent="0.25"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0:31" x14ac:dyDescent="0.25"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0:31" x14ac:dyDescent="0.25"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0:31" x14ac:dyDescent="0.25"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0:31" x14ac:dyDescent="0.25"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0:31" x14ac:dyDescent="0.25"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0:31" x14ac:dyDescent="0.25"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0:31" x14ac:dyDescent="0.25"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0:31" x14ac:dyDescent="0.25"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0:31" x14ac:dyDescent="0.25"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0:31" x14ac:dyDescent="0.25"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0:31" x14ac:dyDescent="0.25"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0:31" x14ac:dyDescent="0.25"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0:31" x14ac:dyDescent="0.25"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0:31" x14ac:dyDescent="0.25"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0:31" x14ac:dyDescent="0.25"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0:31" x14ac:dyDescent="0.25"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0:31" x14ac:dyDescent="0.25"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0:31" x14ac:dyDescent="0.25"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0:31" x14ac:dyDescent="0.25"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0:31" x14ac:dyDescent="0.25"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0:31" x14ac:dyDescent="0.25"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0:31" x14ac:dyDescent="0.25"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0:31" x14ac:dyDescent="0.25"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0:31" x14ac:dyDescent="0.25"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0:31" x14ac:dyDescent="0.25"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0:31" x14ac:dyDescent="0.25"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0:31" x14ac:dyDescent="0.25"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0:31" x14ac:dyDescent="0.25"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0:31" x14ac:dyDescent="0.25"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0:31" x14ac:dyDescent="0.25"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0:31" x14ac:dyDescent="0.25"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0:31" x14ac:dyDescent="0.25"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0:31" x14ac:dyDescent="0.25"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0:31" x14ac:dyDescent="0.25"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0:31" x14ac:dyDescent="0.25"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0:31" x14ac:dyDescent="0.25"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0:31" x14ac:dyDescent="0.25"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0:31" x14ac:dyDescent="0.25"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0:31" x14ac:dyDescent="0.25"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0:31" x14ac:dyDescent="0.25"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0:31" x14ac:dyDescent="0.25"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0:31" x14ac:dyDescent="0.25"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0:31" x14ac:dyDescent="0.25"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0:31" x14ac:dyDescent="0.25"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0:31" x14ac:dyDescent="0.25"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0:31" x14ac:dyDescent="0.25"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0:31" x14ac:dyDescent="0.25"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0:31" x14ac:dyDescent="0.25"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0:31" x14ac:dyDescent="0.25"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0:31" x14ac:dyDescent="0.25"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0:31" x14ac:dyDescent="0.25"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0:31" x14ac:dyDescent="0.25"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0:31" x14ac:dyDescent="0.25"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0:31" x14ac:dyDescent="0.25"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0:31" x14ac:dyDescent="0.25"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0:31" x14ac:dyDescent="0.25"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0:31" x14ac:dyDescent="0.25"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0:31" x14ac:dyDescent="0.25"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</sheetData>
  <mergeCells count="2">
    <mergeCell ref="J3:R5"/>
    <mergeCell ref="J19:R21"/>
  </mergeCells>
  <conditionalFormatting sqref="AE25">
    <cfRule type="cellIs" dxfId="3" priority="10" operator="between">
      <formula>10</formula>
      <formula>20</formula>
    </cfRule>
    <cfRule type="top10" dxfId="2" priority="11" percent="1" rank="10"/>
  </conditionalFormatting>
  <conditionalFormatting sqref="N7:N17">
    <cfRule type="cellIs" dxfId="1" priority="9" operator="greaterThan">
      <formula>20</formula>
    </cfRule>
  </conditionalFormatting>
  <conditionalFormatting sqref="N7:N16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{C3CB7750-8715-4086-8236-609081BA893E}</x14:id>
        </ext>
      </extLst>
    </cfRule>
    <cfRule type="cellIs" dxfId="0" priority="8" operator="between">
      <formula>18</formula>
      <formula>29</formula>
    </cfRule>
  </conditionalFormatting>
  <conditionalFormatting sqref="X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:V1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{577306E5-D027-4686-8A99-8199065A3351}</x14:id>
        </ext>
      </extLst>
    </cfRule>
  </conditionalFormatting>
  <conditionalFormatting sqref="N23:N3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P23:P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{80C7BF2B-BF48-46D0-9CFA-FBF35F7A2F24}</x14:id>
        </ext>
      </extLst>
    </cfRule>
  </conditionalFormatting>
  <conditionalFormatting sqref="AA7:AA16">
    <cfRule type="cellIs" priority="1" operator="between">
      <formula>12</formula>
      <formula>20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CB7750-8715-4086-8236-609081BA89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N7:N16</xm:sqref>
        </x14:conditionalFormatting>
        <x14:conditionalFormatting xmlns:xm="http://schemas.microsoft.com/office/excel/2006/main">
          <x14:cfRule type="dataBar" id="{577306E5-D027-4686-8A99-8199065A3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J7:V16</xm:sqref>
        </x14:conditionalFormatting>
        <x14:conditionalFormatting xmlns:xm="http://schemas.microsoft.com/office/excel/2006/main">
          <x14:cfRule type="dataBar" id="{80C7BF2B-BF48-46D0-9CFA-FBF35F7A2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P23:P32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cp:lastPrinted>2025-07-18T16:57:28Z</cp:lastPrinted>
  <dcterms:created xsi:type="dcterms:W3CDTF">2025-07-18T15:38:05Z</dcterms:created>
  <dcterms:modified xsi:type="dcterms:W3CDTF">2026-05-07T06:11:45Z</dcterms:modified>
</cp:coreProperties>
</file>