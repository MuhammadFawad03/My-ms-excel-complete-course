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2995" windowHeight="95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T7" i="1" l="1"/>
  <c r="T9" i="1"/>
  <c r="T11" i="1"/>
  <c r="T13" i="1"/>
  <c r="T15" i="1"/>
  <c r="M31" i="1"/>
  <c r="O31" i="1"/>
  <c r="I31" i="1"/>
  <c r="K31" i="1"/>
  <c r="G31" i="1"/>
  <c r="O9" i="1"/>
  <c r="O11" i="1"/>
  <c r="O13" i="1"/>
  <c r="O15" i="1"/>
  <c r="O17" i="1"/>
  <c r="O19" i="1"/>
  <c r="O21" i="1"/>
  <c r="O23" i="1"/>
  <c r="O25" i="1"/>
  <c r="O27" i="1"/>
  <c r="O29" i="1"/>
  <c r="O7" i="1"/>
  <c r="M9" i="1"/>
  <c r="M11" i="1"/>
  <c r="M13" i="1"/>
  <c r="M15" i="1"/>
  <c r="M17" i="1"/>
  <c r="M19" i="1"/>
  <c r="M21" i="1"/>
  <c r="M23" i="1"/>
  <c r="M25" i="1"/>
  <c r="M27" i="1"/>
  <c r="M29" i="1"/>
  <c r="M7" i="1"/>
  <c r="K9" i="1"/>
  <c r="K11" i="1"/>
  <c r="K13" i="1"/>
  <c r="K15" i="1"/>
  <c r="K17" i="1"/>
  <c r="K19" i="1"/>
  <c r="K21" i="1"/>
  <c r="K23" i="1"/>
  <c r="K25" i="1"/>
  <c r="K27" i="1"/>
  <c r="K29" i="1"/>
  <c r="K7" i="1"/>
</calcChain>
</file>

<file path=xl/sharedStrings.xml><?xml version="1.0" encoding="utf-8"?>
<sst xmlns="http://schemas.openxmlformats.org/spreadsheetml/2006/main" count="26" uniqueCount="25">
  <si>
    <t>S.no</t>
  </si>
  <si>
    <t>Class</t>
  </si>
  <si>
    <t>Total Student
in Class</t>
  </si>
  <si>
    <t>Present</t>
  </si>
  <si>
    <t>Obsent</t>
  </si>
  <si>
    <t>Percentage</t>
  </si>
  <si>
    <t>Fine</t>
  </si>
  <si>
    <t>6thB</t>
  </si>
  <si>
    <t>7thA</t>
  </si>
  <si>
    <t>7thB</t>
  </si>
  <si>
    <t>8thB</t>
  </si>
  <si>
    <t>9thA</t>
  </si>
  <si>
    <t>9thB</t>
  </si>
  <si>
    <t>10thB</t>
  </si>
  <si>
    <t>11st Year</t>
  </si>
  <si>
    <t>10thA</t>
  </si>
  <si>
    <t>8thA</t>
  </si>
  <si>
    <t>6thA</t>
  </si>
  <si>
    <t>2nd Year</t>
  </si>
  <si>
    <t>Total Record of school</t>
  </si>
  <si>
    <r>
      <rPr>
        <b/>
        <sz val="24"/>
        <color theme="1"/>
        <rFont val="Calibri"/>
        <family val="2"/>
        <scheme val="minor"/>
      </rPr>
      <t>GHSS TAJZAI LAKKI MARWAT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Daily Classwise Student Atendance Summary</t>
    </r>
    <r>
      <rPr>
        <sz val="11"/>
        <color theme="1"/>
        <rFont val="Calibri"/>
        <family val="2"/>
        <scheme val="minor"/>
      </rPr>
      <t xml:space="preserve"> </t>
    </r>
  </si>
  <si>
    <t>Total Stucent</t>
  </si>
  <si>
    <t>Total Presents</t>
  </si>
  <si>
    <t>Total Obsent</t>
  </si>
  <si>
    <t>Percenge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</si>
</sst>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center"/>
    </xf>
    <xf numFmtId="9" fontId="0" fillId="3" borderId="4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U32"/>
  <sheetViews>
    <sheetView tabSelected="1" topLeftCell="A5" workbookViewId="0">
      <selection activeCell="T7" sqref="T7:U16"/>
    </sheetView>
  </sheetViews>
  <sheetFormatPr defaultRowHeight="15" x14ac:dyDescent="0.25"/>
  <cols>
    <col min="5" max="5" width="10.42578125" bestFit="1" customWidth="1"/>
    <col min="7" max="7" width="10" bestFit="1" customWidth="1"/>
  </cols>
  <sheetData>
    <row r="1" spans="3:21" ht="15.75" thickBot="1" x14ac:dyDescent="0.3"/>
    <row r="2" spans="3:21" x14ac:dyDescent="0.25">
      <c r="C2" s="7" t="s">
        <v>20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6"/>
    </row>
    <row r="3" spans="3:21" x14ac:dyDescent="0.25"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3:21" ht="29.25" customHeight="1" thickBot="1" x14ac:dyDescent="0.3">
      <c r="C4" s="8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9"/>
    </row>
    <row r="5" spans="3:21" x14ac:dyDescent="0.25">
      <c r="C5" s="15" t="s">
        <v>0</v>
      </c>
      <c r="D5" s="16"/>
      <c r="E5" s="15" t="s">
        <v>1</v>
      </c>
      <c r="F5" s="16"/>
      <c r="G5" s="17" t="s">
        <v>2</v>
      </c>
      <c r="H5" s="16"/>
      <c r="I5" s="15" t="s">
        <v>3</v>
      </c>
      <c r="J5" s="16"/>
      <c r="K5" s="15" t="s">
        <v>4</v>
      </c>
      <c r="L5" s="16"/>
      <c r="M5" s="15" t="s">
        <v>5</v>
      </c>
      <c r="N5" s="16"/>
      <c r="O5" s="15" t="s">
        <v>6</v>
      </c>
      <c r="P5" s="16"/>
    </row>
    <row r="6" spans="3:21" ht="33.75" customHeight="1" thickBot="1" x14ac:dyDescent="0.3">
      <c r="C6" s="18"/>
      <c r="D6" s="19"/>
      <c r="E6" s="18"/>
      <c r="F6" s="19"/>
      <c r="G6" s="18"/>
      <c r="H6" s="19"/>
      <c r="I6" s="18"/>
      <c r="J6" s="19"/>
      <c r="K6" s="18"/>
      <c r="L6" s="19"/>
      <c r="M6" s="18"/>
      <c r="N6" s="19"/>
      <c r="O6" s="18"/>
      <c r="P6" s="19"/>
    </row>
    <row r="7" spans="3:21" x14ac:dyDescent="0.25">
      <c r="C7" s="21">
        <v>1</v>
      </c>
      <c r="D7" s="22"/>
      <c r="E7" s="21" t="s">
        <v>17</v>
      </c>
      <c r="F7" s="22"/>
      <c r="G7" s="21">
        <v>55</v>
      </c>
      <c r="H7" s="22"/>
      <c r="I7" s="21">
        <v>51</v>
      </c>
      <c r="J7" s="22"/>
      <c r="K7" s="21">
        <f>G7-I7</f>
        <v>4</v>
      </c>
      <c r="L7" s="22"/>
      <c r="M7" s="23">
        <f>I7/G7</f>
        <v>0.92727272727272725</v>
      </c>
      <c r="N7" s="24"/>
      <c r="O7" s="21">
        <f>K7*20</f>
        <v>80</v>
      </c>
      <c r="P7" s="22"/>
      <c r="R7" s="1" t="s">
        <v>21</v>
      </c>
      <c r="S7" s="2"/>
      <c r="T7" s="1">
        <f>W2</f>
        <v>0</v>
      </c>
      <c r="U7" s="2"/>
    </row>
    <row r="8" spans="3:21" ht="15.75" thickBot="1" x14ac:dyDescent="0.3">
      <c r="C8" s="25"/>
      <c r="D8" s="26"/>
      <c r="E8" s="25"/>
      <c r="F8" s="26"/>
      <c r="G8" s="25"/>
      <c r="H8" s="26"/>
      <c r="I8" s="25"/>
      <c r="J8" s="26"/>
      <c r="K8" s="25"/>
      <c r="L8" s="26"/>
      <c r="M8" s="27"/>
      <c r="N8" s="28"/>
      <c r="O8" s="25"/>
      <c r="P8" s="26"/>
      <c r="R8" s="3"/>
      <c r="S8" s="4"/>
      <c r="T8" s="3"/>
      <c r="U8" s="4"/>
    </row>
    <row r="9" spans="3:21" x14ac:dyDescent="0.25">
      <c r="C9" s="21">
        <v>2</v>
      </c>
      <c r="D9" s="22"/>
      <c r="E9" s="21" t="s">
        <v>7</v>
      </c>
      <c r="F9" s="22"/>
      <c r="G9" s="21">
        <v>80</v>
      </c>
      <c r="H9" s="22"/>
      <c r="I9" s="21">
        <v>75</v>
      </c>
      <c r="J9" s="22"/>
      <c r="K9" s="21">
        <f t="shared" ref="K9:K30" si="0">G9-I9</f>
        <v>5</v>
      </c>
      <c r="L9" s="22"/>
      <c r="M9" s="23">
        <f t="shared" ref="M9:M30" si="1">I9/G9</f>
        <v>0.9375</v>
      </c>
      <c r="N9" s="24"/>
      <c r="O9" s="21">
        <f t="shared" ref="O9:O30" si="2">K9*20</f>
        <v>100</v>
      </c>
      <c r="P9" s="22"/>
      <c r="R9" s="1" t="s">
        <v>22</v>
      </c>
      <c r="S9" s="2"/>
      <c r="T9" s="1">
        <f t="shared" ref="T9" si="3">SUM(G9:H32)</f>
        <v>1293</v>
      </c>
      <c r="U9" s="2"/>
    </row>
    <row r="10" spans="3:21" ht="15.75" thickBot="1" x14ac:dyDescent="0.3">
      <c r="C10" s="25"/>
      <c r="D10" s="26"/>
      <c r="E10" s="25"/>
      <c r="F10" s="26"/>
      <c r="G10" s="25"/>
      <c r="H10" s="26"/>
      <c r="I10" s="25"/>
      <c r="J10" s="26"/>
      <c r="K10" s="25"/>
      <c r="L10" s="26"/>
      <c r="M10" s="27"/>
      <c r="N10" s="28"/>
      <c r="O10" s="25"/>
      <c r="P10" s="26"/>
      <c r="R10" s="3"/>
      <c r="S10" s="4"/>
      <c r="T10" s="3"/>
      <c r="U10" s="4"/>
    </row>
    <row r="11" spans="3:21" x14ac:dyDescent="0.25">
      <c r="C11" s="21">
        <v>3</v>
      </c>
      <c r="D11" s="22"/>
      <c r="E11" s="21" t="s">
        <v>8</v>
      </c>
      <c r="F11" s="22"/>
      <c r="G11" s="21">
        <v>57</v>
      </c>
      <c r="H11" s="22"/>
      <c r="I11" s="21">
        <v>49</v>
      </c>
      <c r="J11" s="22"/>
      <c r="K11" s="21">
        <f t="shared" ref="K11:K30" si="4">G11-I11</f>
        <v>8</v>
      </c>
      <c r="L11" s="22"/>
      <c r="M11" s="23">
        <f t="shared" ref="M11:M30" si="5">I11/G11</f>
        <v>0.85964912280701755</v>
      </c>
      <c r="N11" s="24"/>
      <c r="O11" s="21">
        <f t="shared" ref="O11:O30" si="6">K11*20</f>
        <v>160</v>
      </c>
      <c r="P11" s="22"/>
      <c r="R11" s="1" t="s">
        <v>23</v>
      </c>
      <c r="S11" s="2"/>
      <c r="T11" s="1">
        <f t="shared" ref="T11" si="7">SUM(G11:H34)</f>
        <v>1213</v>
      </c>
      <c r="U11" s="2"/>
    </row>
    <row r="12" spans="3:21" ht="15.75" thickBot="1" x14ac:dyDescent="0.3">
      <c r="C12" s="25"/>
      <c r="D12" s="26"/>
      <c r="E12" s="25"/>
      <c r="F12" s="26"/>
      <c r="G12" s="25"/>
      <c r="H12" s="26"/>
      <c r="I12" s="25"/>
      <c r="J12" s="26"/>
      <c r="K12" s="25"/>
      <c r="L12" s="26"/>
      <c r="M12" s="27"/>
      <c r="N12" s="28"/>
      <c r="O12" s="25"/>
      <c r="P12" s="26"/>
      <c r="R12" s="3"/>
      <c r="S12" s="4"/>
      <c r="T12" s="3"/>
      <c r="U12" s="4"/>
    </row>
    <row r="13" spans="3:21" x14ac:dyDescent="0.25">
      <c r="C13" s="21">
        <v>4</v>
      </c>
      <c r="D13" s="22"/>
      <c r="E13" s="21" t="s">
        <v>9</v>
      </c>
      <c r="F13" s="22"/>
      <c r="G13" s="21">
        <v>45</v>
      </c>
      <c r="H13" s="22"/>
      <c r="I13" s="21">
        <v>41</v>
      </c>
      <c r="J13" s="22"/>
      <c r="K13" s="21">
        <f t="shared" ref="K13:K30" si="8">G13-I13</f>
        <v>4</v>
      </c>
      <c r="L13" s="22"/>
      <c r="M13" s="23">
        <f t="shared" ref="M13:M30" si="9">I13/G13</f>
        <v>0.91111111111111109</v>
      </c>
      <c r="N13" s="24"/>
      <c r="O13" s="21">
        <f t="shared" ref="O13:O30" si="10">K13*20</f>
        <v>80</v>
      </c>
      <c r="P13" s="22"/>
      <c r="R13" s="1" t="s">
        <v>24</v>
      </c>
      <c r="S13" s="2"/>
      <c r="T13" s="1">
        <f t="shared" ref="T13" si="11">SUM(G13:H36)</f>
        <v>1156</v>
      </c>
      <c r="U13" s="2"/>
    </row>
    <row r="14" spans="3:21" ht="15.75" thickBot="1" x14ac:dyDescent="0.3">
      <c r="C14" s="25"/>
      <c r="D14" s="26"/>
      <c r="E14" s="25"/>
      <c r="F14" s="26"/>
      <c r="G14" s="25"/>
      <c r="H14" s="26"/>
      <c r="I14" s="25"/>
      <c r="J14" s="26"/>
      <c r="K14" s="25"/>
      <c r="L14" s="26"/>
      <c r="M14" s="27"/>
      <c r="N14" s="28"/>
      <c r="O14" s="25"/>
      <c r="P14" s="26"/>
      <c r="R14" s="3"/>
      <c r="S14" s="4"/>
      <c r="T14" s="3"/>
      <c r="U14" s="4"/>
    </row>
    <row r="15" spans="3:21" x14ac:dyDescent="0.25">
      <c r="C15" s="21">
        <v>5</v>
      </c>
      <c r="D15" s="22"/>
      <c r="E15" s="21" t="s">
        <v>16</v>
      </c>
      <c r="F15" s="22"/>
      <c r="G15" s="21">
        <v>77</v>
      </c>
      <c r="H15" s="22"/>
      <c r="I15" s="21">
        <v>72</v>
      </c>
      <c r="J15" s="22"/>
      <c r="K15" s="21">
        <f t="shared" ref="K15:K30" si="12">G15-I15</f>
        <v>5</v>
      </c>
      <c r="L15" s="22"/>
      <c r="M15" s="23">
        <f t="shared" ref="M15:M30" si="13">I15/G15</f>
        <v>0.93506493506493504</v>
      </c>
      <c r="N15" s="24"/>
      <c r="O15" s="21">
        <f t="shared" ref="O15:O30" si="14">K15*20</f>
        <v>100</v>
      </c>
      <c r="P15" s="22"/>
      <c r="R15" s="1" t="s">
        <v>6</v>
      </c>
      <c r="S15" s="2"/>
      <c r="T15" s="1">
        <f t="shared" ref="T15" si="15">SUM(G15:H38)</f>
        <v>1111</v>
      </c>
      <c r="U15" s="2"/>
    </row>
    <row r="16" spans="3:21" ht="15.75" thickBot="1" x14ac:dyDescent="0.3">
      <c r="C16" s="25"/>
      <c r="D16" s="26"/>
      <c r="E16" s="25"/>
      <c r="F16" s="26"/>
      <c r="G16" s="25"/>
      <c r="H16" s="26"/>
      <c r="I16" s="25"/>
      <c r="J16" s="26"/>
      <c r="K16" s="25"/>
      <c r="L16" s="26"/>
      <c r="M16" s="27"/>
      <c r="N16" s="28"/>
      <c r="O16" s="25"/>
      <c r="P16" s="26"/>
      <c r="R16" s="3"/>
      <c r="S16" s="4"/>
      <c r="T16" s="3"/>
      <c r="U16" s="4"/>
    </row>
    <row r="17" spans="3:16" x14ac:dyDescent="0.25">
      <c r="C17" s="21">
        <v>6</v>
      </c>
      <c r="D17" s="22"/>
      <c r="E17" s="21" t="s">
        <v>10</v>
      </c>
      <c r="F17" s="22"/>
      <c r="G17" s="21">
        <v>80</v>
      </c>
      <c r="H17" s="22"/>
      <c r="I17" s="21">
        <v>73</v>
      </c>
      <c r="J17" s="22"/>
      <c r="K17" s="21">
        <f t="shared" ref="K17:K30" si="16">G17-I17</f>
        <v>7</v>
      </c>
      <c r="L17" s="22"/>
      <c r="M17" s="23">
        <f t="shared" ref="M17:M30" si="17">I17/G17</f>
        <v>0.91249999999999998</v>
      </c>
      <c r="N17" s="24"/>
      <c r="O17" s="21">
        <f t="shared" ref="O17:O30" si="18">K17*20</f>
        <v>140</v>
      </c>
      <c r="P17" s="22"/>
    </row>
    <row r="18" spans="3:16" ht="15.75" thickBot="1" x14ac:dyDescent="0.3">
      <c r="C18" s="25"/>
      <c r="D18" s="26"/>
      <c r="E18" s="25"/>
      <c r="F18" s="26"/>
      <c r="G18" s="25"/>
      <c r="H18" s="26"/>
      <c r="I18" s="25"/>
      <c r="J18" s="26"/>
      <c r="K18" s="25"/>
      <c r="L18" s="26"/>
      <c r="M18" s="27"/>
      <c r="N18" s="28"/>
      <c r="O18" s="25"/>
      <c r="P18" s="26"/>
    </row>
    <row r="19" spans="3:16" x14ac:dyDescent="0.25">
      <c r="C19" s="21">
        <v>7</v>
      </c>
      <c r="D19" s="22"/>
      <c r="E19" s="21" t="s">
        <v>11</v>
      </c>
      <c r="F19" s="22"/>
      <c r="G19" s="21">
        <v>58</v>
      </c>
      <c r="H19" s="22"/>
      <c r="I19" s="21">
        <v>49</v>
      </c>
      <c r="J19" s="22"/>
      <c r="K19" s="21">
        <f t="shared" ref="K19:K30" si="19">G19-I19</f>
        <v>9</v>
      </c>
      <c r="L19" s="22"/>
      <c r="M19" s="23">
        <f t="shared" ref="M19:M30" si="20">I19/G19</f>
        <v>0.84482758620689657</v>
      </c>
      <c r="N19" s="24"/>
      <c r="O19" s="21">
        <f t="shared" ref="O19:O30" si="21">K19*20</f>
        <v>180</v>
      </c>
      <c r="P19" s="22"/>
    </row>
    <row r="20" spans="3:16" ht="15.75" thickBot="1" x14ac:dyDescent="0.3">
      <c r="C20" s="25"/>
      <c r="D20" s="26"/>
      <c r="E20" s="25"/>
      <c r="F20" s="26"/>
      <c r="G20" s="25"/>
      <c r="H20" s="26"/>
      <c r="I20" s="25"/>
      <c r="J20" s="26"/>
      <c r="K20" s="25"/>
      <c r="L20" s="26"/>
      <c r="M20" s="27"/>
      <c r="N20" s="28"/>
      <c r="O20" s="25"/>
      <c r="P20" s="26"/>
    </row>
    <row r="21" spans="3:16" x14ac:dyDescent="0.25">
      <c r="C21" s="21">
        <v>8</v>
      </c>
      <c r="D21" s="22"/>
      <c r="E21" s="21" t="s">
        <v>12</v>
      </c>
      <c r="F21" s="22"/>
      <c r="G21" s="21">
        <v>63</v>
      </c>
      <c r="H21" s="22"/>
      <c r="I21" s="21">
        <v>54</v>
      </c>
      <c r="J21" s="22"/>
      <c r="K21" s="21">
        <f t="shared" ref="K21:K30" si="22">G21-I21</f>
        <v>9</v>
      </c>
      <c r="L21" s="22"/>
      <c r="M21" s="23">
        <f t="shared" ref="M21:M30" si="23">I21/G21</f>
        <v>0.8571428571428571</v>
      </c>
      <c r="N21" s="24"/>
      <c r="O21" s="21">
        <f t="shared" ref="O21:O30" si="24">K21*20</f>
        <v>180</v>
      </c>
      <c r="P21" s="22"/>
    </row>
    <row r="22" spans="3:16" ht="15.75" thickBot="1" x14ac:dyDescent="0.3">
      <c r="C22" s="25"/>
      <c r="D22" s="26"/>
      <c r="E22" s="25"/>
      <c r="F22" s="26"/>
      <c r="G22" s="25"/>
      <c r="H22" s="26"/>
      <c r="I22" s="25"/>
      <c r="J22" s="26"/>
      <c r="K22" s="25"/>
      <c r="L22" s="26"/>
      <c r="M22" s="27"/>
      <c r="N22" s="28"/>
      <c r="O22" s="25"/>
      <c r="P22" s="26"/>
    </row>
    <row r="23" spans="3:16" x14ac:dyDescent="0.25">
      <c r="C23" s="21">
        <v>9</v>
      </c>
      <c r="D23" s="22"/>
      <c r="E23" s="21" t="s">
        <v>15</v>
      </c>
      <c r="F23" s="22"/>
      <c r="G23" s="21">
        <v>49</v>
      </c>
      <c r="H23" s="22"/>
      <c r="I23" s="21">
        <v>46</v>
      </c>
      <c r="J23" s="22"/>
      <c r="K23" s="21">
        <f t="shared" ref="K23:K30" si="25">G23-I23</f>
        <v>3</v>
      </c>
      <c r="L23" s="22"/>
      <c r="M23" s="23">
        <f t="shared" ref="M23:M30" si="26">I23/G23</f>
        <v>0.93877551020408168</v>
      </c>
      <c r="N23" s="24"/>
      <c r="O23" s="21">
        <f t="shared" ref="O23:O30" si="27">K23*20</f>
        <v>60</v>
      </c>
      <c r="P23" s="22"/>
    </row>
    <row r="24" spans="3:16" ht="15.75" thickBot="1" x14ac:dyDescent="0.3">
      <c r="C24" s="25"/>
      <c r="D24" s="26"/>
      <c r="E24" s="25"/>
      <c r="F24" s="26"/>
      <c r="G24" s="25"/>
      <c r="H24" s="26"/>
      <c r="I24" s="25"/>
      <c r="J24" s="26"/>
      <c r="K24" s="25"/>
      <c r="L24" s="26"/>
      <c r="M24" s="27"/>
      <c r="N24" s="28"/>
      <c r="O24" s="25"/>
      <c r="P24" s="26"/>
    </row>
    <row r="25" spans="3:16" x14ac:dyDescent="0.25">
      <c r="C25" s="21">
        <v>10</v>
      </c>
      <c r="D25" s="22"/>
      <c r="E25" s="21" t="s">
        <v>13</v>
      </c>
      <c r="F25" s="22"/>
      <c r="G25" s="21">
        <v>30</v>
      </c>
      <c r="H25" s="22"/>
      <c r="I25" s="21">
        <v>28</v>
      </c>
      <c r="J25" s="22"/>
      <c r="K25" s="21">
        <f t="shared" ref="K25:K30" si="28">G25-I25</f>
        <v>2</v>
      </c>
      <c r="L25" s="22"/>
      <c r="M25" s="23">
        <f t="shared" ref="M25:M30" si="29">I25/G25</f>
        <v>0.93333333333333335</v>
      </c>
      <c r="N25" s="24"/>
      <c r="O25" s="21">
        <f t="shared" ref="O25:O30" si="30">K25*20</f>
        <v>40</v>
      </c>
      <c r="P25" s="22"/>
    </row>
    <row r="26" spans="3:16" ht="15.75" thickBot="1" x14ac:dyDescent="0.3">
      <c r="C26" s="25"/>
      <c r="D26" s="26"/>
      <c r="E26" s="25"/>
      <c r="F26" s="26"/>
      <c r="G26" s="25"/>
      <c r="H26" s="26"/>
      <c r="I26" s="25"/>
      <c r="J26" s="26"/>
      <c r="K26" s="25"/>
      <c r="L26" s="26"/>
      <c r="M26" s="27"/>
      <c r="N26" s="28"/>
      <c r="O26" s="25"/>
      <c r="P26" s="26"/>
    </row>
    <row r="27" spans="3:16" x14ac:dyDescent="0.25">
      <c r="C27" s="21">
        <v>11</v>
      </c>
      <c r="D27" s="22"/>
      <c r="E27" s="21" t="s">
        <v>14</v>
      </c>
      <c r="F27" s="22"/>
      <c r="G27" s="21">
        <v>46</v>
      </c>
      <c r="H27" s="22"/>
      <c r="I27" s="21">
        <v>41</v>
      </c>
      <c r="J27" s="22"/>
      <c r="K27" s="21">
        <f t="shared" ref="K27:K30" si="31">G27-I27</f>
        <v>5</v>
      </c>
      <c r="L27" s="22"/>
      <c r="M27" s="23">
        <f t="shared" ref="M27:M30" si="32">I27/G27</f>
        <v>0.89130434782608692</v>
      </c>
      <c r="N27" s="24"/>
      <c r="O27" s="21">
        <f t="shared" ref="O27:O30" si="33">K27*20</f>
        <v>100</v>
      </c>
      <c r="P27" s="22"/>
    </row>
    <row r="28" spans="3:16" ht="15.75" thickBot="1" x14ac:dyDescent="0.3">
      <c r="C28" s="25"/>
      <c r="D28" s="26"/>
      <c r="E28" s="25"/>
      <c r="F28" s="26"/>
      <c r="G28" s="25"/>
      <c r="H28" s="26"/>
      <c r="I28" s="25"/>
      <c r="J28" s="26"/>
      <c r="K28" s="25"/>
      <c r="L28" s="26"/>
      <c r="M28" s="27"/>
      <c r="N28" s="28"/>
      <c r="O28" s="25"/>
      <c r="P28" s="26"/>
    </row>
    <row r="29" spans="3:16" x14ac:dyDescent="0.25">
      <c r="C29" s="21">
        <v>12</v>
      </c>
      <c r="D29" s="22"/>
      <c r="E29" s="21" t="s">
        <v>18</v>
      </c>
      <c r="F29" s="22"/>
      <c r="G29" s="21">
        <v>34</v>
      </c>
      <c r="H29" s="22"/>
      <c r="I29" s="21">
        <v>33</v>
      </c>
      <c r="J29" s="22"/>
      <c r="K29" s="21">
        <f t="shared" ref="K29:K30" si="34">G29-I29</f>
        <v>1</v>
      </c>
      <c r="L29" s="22"/>
      <c r="M29" s="23">
        <f t="shared" ref="M29:M30" si="35">I29/G29</f>
        <v>0.97058823529411764</v>
      </c>
      <c r="N29" s="24"/>
      <c r="O29" s="21">
        <f t="shared" ref="O29:O30" si="36">K29*20</f>
        <v>20</v>
      </c>
      <c r="P29" s="22"/>
    </row>
    <row r="30" spans="3:16" ht="15.75" thickBot="1" x14ac:dyDescent="0.3">
      <c r="C30" s="25"/>
      <c r="D30" s="26"/>
      <c r="E30" s="25"/>
      <c r="F30" s="26"/>
      <c r="G30" s="25"/>
      <c r="H30" s="26"/>
      <c r="I30" s="25"/>
      <c r="J30" s="26"/>
      <c r="K30" s="25"/>
      <c r="L30" s="26"/>
      <c r="M30" s="27"/>
      <c r="N30" s="28"/>
      <c r="O30" s="25"/>
      <c r="P30" s="26"/>
    </row>
    <row r="31" spans="3:16" x14ac:dyDescent="0.25">
      <c r="C31" s="29" t="s">
        <v>19</v>
      </c>
      <c r="D31" s="30"/>
      <c r="E31" s="30"/>
      <c r="F31" s="31"/>
      <c r="G31" s="5">
        <f>SUM(G7:H30)</f>
        <v>674</v>
      </c>
      <c r="H31" s="6"/>
      <c r="I31" s="5">
        <f t="shared" ref="I31:L31" si="37">SUM(I7:J30)</f>
        <v>612</v>
      </c>
      <c r="J31" s="6"/>
      <c r="K31" s="5">
        <f t="shared" ref="K31:L31" si="38">SUM(K7:L30)</f>
        <v>62</v>
      </c>
      <c r="L31" s="6"/>
      <c r="M31" s="20">
        <f>I31/G31</f>
        <v>0.90801186943620182</v>
      </c>
      <c r="N31" s="6"/>
      <c r="O31" s="5">
        <f>SUM(O7:P28)</f>
        <v>1220</v>
      </c>
      <c r="P31" s="6"/>
    </row>
    <row r="32" spans="3:16" ht="15.75" thickBot="1" x14ac:dyDescent="0.3">
      <c r="C32" s="32"/>
      <c r="D32" s="33"/>
      <c r="E32" s="33"/>
      <c r="F32" s="34"/>
      <c r="G32" s="8"/>
      <c r="H32" s="9"/>
      <c r="I32" s="8"/>
      <c r="J32" s="9"/>
      <c r="K32" s="8"/>
      <c r="L32" s="9"/>
      <c r="M32" s="8"/>
      <c r="N32" s="9"/>
      <c r="O32" s="8"/>
      <c r="P32" s="9"/>
    </row>
  </sheetData>
  <mergeCells count="108">
    <mergeCell ref="R13:S14"/>
    <mergeCell ref="T13:U14"/>
    <mergeCell ref="R15:S16"/>
    <mergeCell ref="T15:U16"/>
    <mergeCell ref="R7:S8"/>
    <mergeCell ref="T7:U8"/>
    <mergeCell ref="R9:S10"/>
    <mergeCell ref="T9:U10"/>
    <mergeCell ref="R11:S12"/>
    <mergeCell ref="T11:U12"/>
    <mergeCell ref="O29:P30"/>
    <mergeCell ref="C2:P4"/>
    <mergeCell ref="G31:H32"/>
    <mergeCell ref="I31:J32"/>
    <mergeCell ref="K31:L32"/>
    <mergeCell ref="M31:N32"/>
    <mergeCell ref="O31:P32"/>
    <mergeCell ref="C31:F32"/>
    <mergeCell ref="C29:D30"/>
    <mergeCell ref="E29:F30"/>
    <mergeCell ref="G29:H30"/>
    <mergeCell ref="I29:J30"/>
    <mergeCell ref="K29:L30"/>
    <mergeCell ref="M29:N30"/>
    <mergeCell ref="O25:P26"/>
    <mergeCell ref="C27:D28"/>
    <mergeCell ref="E27:F28"/>
    <mergeCell ref="G27:H28"/>
    <mergeCell ref="I27:J28"/>
    <mergeCell ref="K27:L28"/>
    <mergeCell ref="M27:N28"/>
    <mergeCell ref="O27:P28"/>
    <mergeCell ref="C25:D26"/>
    <mergeCell ref="E25:F26"/>
    <mergeCell ref="G25:H26"/>
    <mergeCell ref="I25:J26"/>
    <mergeCell ref="K25:L26"/>
    <mergeCell ref="M25:N26"/>
    <mergeCell ref="O21:P22"/>
    <mergeCell ref="C23:D24"/>
    <mergeCell ref="E23:F24"/>
    <mergeCell ref="G23:H24"/>
    <mergeCell ref="I23:J24"/>
    <mergeCell ref="K23:L24"/>
    <mergeCell ref="M23:N24"/>
    <mergeCell ref="O23:P24"/>
    <mergeCell ref="C21:D22"/>
    <mergeCell ref="E21:F22"/>
    <mergeCell ref="G21:H22"/>
    <mergeCell ref="I21:J22"/>
    <mergeCell ref="K21:L22"/>
    <mergeCell ref="M21:N22"/>
    <mergeCell ref="O17:P18"/>
    <mergeCell ref="C19:D20"/>
    <mergeCell ref="E19:F20"/>
    <mergeCell ref="G19:H20"/>
    <mergeCell ref="I19:J20"/>
    <mergeCell ref="K19:L20"/>
    <mergeCell ref="M19:N20"/>
    <mergeCell ref="O19:P20"/>
    <mergeCell ref="C17:D18"/>
    <mergeCell ref="E17:F18"/>
    <mergeCell ref="G17:H18"/>
    <mergeCell ref="I17:J18"/>
    <mergeCell ref="K17:L18"/>
    <mergeCell ref="M17:N18"/>
    <mergeCell ref="O13:P14"/>
    <mergeCell ref="C15:D16"/>
    <mergeCell ref="E15:F16"/>
    <mergeCell ref="G15:H16"/>
    <mergeCell ref="I15:J16"/>
    <mergeCell ref="K15:L16"/>
    <mergeCell ref="M15:N16"/>
    <mergeCell ref="O15:P16"/>
    <mergeCell ref="C13:D14"/>
    <mergeCell ref="E13:F14"/>
    <mergeCell ref="G13:H14"/>
    <mergeCell ref="I13:J14"/>
    <mergeCell ref="K13:L14"/>
    <mergeCell ref="M13:N14"/>
    <mergeCell ref="O9:P10"/>
    <mergeCell ref="C11:D12"/>
    <mergeCell ref="E11:F12"/>
    <mergeCell ref="G11:H12"/>
    <mergeCell ref="I11:J12"/>
    <mergeCell ref="K11:L12"/>
    <mergeCell ref="M11:N12"/>
    <mergeCell ref="O11:P12"/>
    <mergeCell ref="C9:D10"/>
    <mergeCell ref="E9:F10"/>
    <mergeCell ref="G9:H10"/>
    <mergeCell ref="I9:J10"/>
    <mergeCell ref="K9:L10"/>
    <mergeCell ref="M9:N10"/>
    <mergeCell ref="O5:P6"/>
    <mergeCell ref="C7:D8"/>
    <mergeCell ref="E7:F8"/>
    <mergeCell ref="G7:H8"/>
    <mergeCell ref="I7:J8"/>
    <mergeCell ref="K7:L8"/>
    <mergeCell ref="M7:N8"/>
    <mergeCell ref="O7:P8"/>
    <mergeCell ref="C5:D6"/>
    <mergeCell ref="E5:F6"/>
    <mergeCell ref="G5:H6"/>
    <mergeCell ref="I5:J6"/>
    <mergeCell ref="K5:L6"/>
    <mergeCell ref="M5:N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LAPTOPS</dc:creator>
  <cp:lastModifiedBy>KASHIF LAPTOPS</cp:lastModifiedBy>
  <dcterms:created xsi:type="dcterms:W3CDTF">2025-08-06T11:45:29Z</dcterms:created>
  <dcterms:modified xsi:type="dcterms:W3CDTF">2025-08-06T12:15:16Z</dcterms:modified>
</cp:coreProperties>
</file>