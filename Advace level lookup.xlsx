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22755" windowHeight="9255"/>
  </bookViews>
  <sheets>
    <sheet name="Sheet1" sheetId="1" r:id="rId1"/>
    <sheet name="SHEET 2" sheetId="3" r:id="rId2"/>
  </sheets>
  <calcPr calcId="144525"/>
</workbook>
</file>

<file path=xl/calcChain.xml><?xml version="1.0" encoding="utf-8"?>
<calcChain xmlns="http://schemas.openxmlformats.org/spreadsheetml/2006/main">
  <c r="I19" i="3" l="1"/>
  <c r="D33" i="3"/>
  <c r="D31" i="3"/>
  <c r="D29" i="3"/>
  <c r="D27" i="3"/>
  <c r="D25" i="3"/>
  <c r="D23" i="3"/>
  <c r="D21" i="3"/>
  <c r="D19" i="3"/>
  <c r="D17" i="3"/>
  <c r="I16" i="3"/>
  <c r="I12" i="3"/>
  <c r="I10" i="3"/>
  <c r="D12" i="3"/>
  <c r="D10" i="3"/>
  <c r="C7" i="1"/>
  <c r="C11" i="1"/>
  <c r="C35" i="1"/>
  <c r="C31" i="1"/>
  <c r="C33" i="1"/>
  <c r="C29" i="1"/>
  <c r="C27" i="1"/>
  <c r="C25" i="1"/>
  <c r="C23" i="1"/>
  <c r="C21" i="1"/>
  <c r="C19" i="1"/>
  <c r="C17" i="1"/>
  <c r="C15" i="1"/>
  <c r="C13" i="1"/>
  <c r="C9" i="1"/>
  <c r="T25" i="1"/>
  <c r="V25" i="1" s="1"/>
  <c r="T24" i="1"/>
  <c r="W24" i="1" s="1"/>
  <c r="T23" i="1"/>
  <c r="W23" i="1" s="1"/>
  <c r="T22" i="1"/>
  <c r="V22" i="1" s="1"/>
  <c r="T21" i="1"/>
  <c r="V21" i="1" s="1"/>
  <c r="T20" i="1"/>
  <c r="W20" i="1" s="1"/>
  <c r="T19" i="1"/>
  <c r="W19" i="1" s="1"/>
  <c r="T18" i="1"/>
  <c r="V18" i="1" s="1"/>
  <c r="T17" i="1"/>
  <c r="V17" i="1" s="1"/>
  <c r="T16" i="1"/>
  <c r="W16" i="1" s="1"/>
  <c r="T15" i="1"/>
  <c r="W15" i="1" s="1"/>
  <c r="T14" i="1"/>
  <c r="V14" i="1" s="1"/>
  <c r="T13" i="1"/>
  <c r="V13" i="1" s="1"/>
  <c r="T12" i="1"/>
  <c r="W12" i="1" s="1"/>
  <c r="T11" i="1"/>
  <c r="W11" i="1" s="1"/>
  <c r="W14" i="1" l="1"/>
  <c r="V16" i="1"/>
  <c r="W22" i="1"/>
  <c r="W18" i="1"/>
  <c r="V12" i="1"/>
  <c r="W21" i="1"/>
  <c r="V20" i="1"/>
  <c r="V24" i="1"/>
  <c r="W13" i="1"/>
  <c r="W17" i="1"/>
  <c r="W25" i="1"/>
  <c r="V11" i="1"/>
  <c r="V15" i="1"/>
  <c r="V19" i="1"/>
  <c r="V23" i="1"/>
</calcChain>
</file>

<file path=xl/sharedStrings.xml><?xml version="1.0" encoding="utf-8"?>
<sst xmlns="http://schemas.openxmlformats.org/spreadsheetml/2006/main" count="109" uniqueCount="83">
  <si>
    <t>Name</t>
  </si>
  <si>
    <t>Date</t>
  </si>
  <si>
    <t>Class</t>
  </si>
  <si>
    <t>1st Year</t>
  </si>
  <si>
    <t>Obtain Marks</t>
  </si>
  <si>
    <t>Total Marks</t>
  </si>
  <si>
    <t>Eng</t>
  </si>
  <si>
    <t>Maths</t>
  </si>
  <si>
    <t>Computer</t>
  </si>
  <si>
    <t>Isl</t>
  </si>
  <si>
    <t>Urdu</t>
  </si>
  <si>
    <r>
      <rPr>
        <b/>
        <sz val="16"/>
        <color theme="1"/>
        <rFont val="Calibri"/>
        <family val="2"/>
        <scheme val="minor"/>
      </rPr>
      <t>GHSS TAJAZAI LAKKI MARWAT</t>
    </r>
    <r>
      <rPr>
        <sz val="11"/>
        <color theme="1"/>
        <rFont val="Calibri"/>
        <family val="2"/>
        <scheme val="minor"/>
      </rPr>
      <t xml:space="preserve">
ANNUAL - EXAM -1 2024</t>
    </r>
  </si>
  <si>
    <t>First Year</t>
  </si>
  <si>
    <t>Principle sign</t>
  </si>
  <si>
    <t>Khalid Wahab</t>
  </si>
  <si>
    <t>Teacher-Name</t>
  </si>
  <si>
    <t xml:space="preserve"> Younas Ali Shah</t>
  </si>
  <si>
    <t xml:space="preserve">Roll. No </t>
  </si>
  <si>
    <t xml:space="preserve"> Name</t>
  </si>
  <si>
    <t>F. Name</t>
  </si>
  <si>
    <t xml:space="preserve">Paper Marks </t>
  </si>
  <si>
    <t>Obtain 
Marks</t>
  </si>
  <si>
    <t>Total 
Marks</t>
  </si>
  <si>
    <t>Grade</t>
  </si>
  <si>
    <t>%age</t>
  </si>
  <si>
    <t>Bio</t>
  </si>
  <si>
    <t>computer</t>
  </si>
  <si>
    <t>phty</t>
  </si>
  <si>
    <t>state</t>
  </si>
  <si>
    <t>urdu</t>
  </si>
  <si>
    <t>maths</t>
  </si>
  <si>
    <t>isl</t>
  </si>
  <si>
    <t>M.Quran</t>
  </si>
  <si>
    <t>Fawad</t>
  </si>
  <si>
    <t>siyal</t>
  </si>
  <si>
    <t xml:space="preserve">Nawaz </t>
  </si>
  <si>
    <t>Hammad</t>
  </si>
  <si>
    <t>Hassn</t>
  </si>
  <si>
    <t>Nawaz</t>
  </si>
  <si>
    <t>Afaq</t>
  </si>
  <si>
    <t>Umar</t>
  </si>
  <si>
    <t>Safir</t>
  </si>
  <si>
    <t>Hayat</t>
  </si>
  <si>
    <t>Javed</t>
  </si>
  <si>
    <t>Sohil</t>
  </si>
  <si>
    <t xml:space="preserve">jamal </t>
  </si>
  <si>
    <t>Kamal</t>
  </si>
  <si>
    <t>Ahmad</t>
  </si>
  <si>
    <t>Saqib</t>
  </si>
  <si>
    <t>Awais</t>
  </si>
  <si>
    <t>Satar</t>
  </si>
  <si>
    <t>Talha</t>
  </si>
  <si>
    <t>Yaqoob</t>
  </si>
  <si>
    <t>Hamas</t>
  </si>
  <si>
    <t>Jamal</t>
  </si>
  <si>
    <t>Farman</t>
  </si>
  <si>
    <t>Usama</t>
  </si>
  <si>
    <t>Shaheen</t>
  </si>
  <si>
    <t>Afridi</t>
  </si>
  <si>
    <t>Tanver</t>
  </si>
  <si>
    <t>Riaz</t>
  </si>
  <si>
    <t>Umair</t>
  </si>
  <si>
    <t>Imam</t>
  </si>
  <si>
    <t>Lookup frmula</t>
  </si>
  <si>
    <t>Rool.No</t>
  </si>
  <si>
    <t>F.Name</t>
  </si>
  <si>
    <t>Phy</t>
  </si>
  <si>
    <t>Satate</t>
  </si>
  <si>
    <t>ROOL . NO</t>
  </si>
  <si>
    <t>NAME</t>
  </si>
  <si>
    <t>F.NAME</t>
  </si>
  <si>
    <t>%AGE</t>
  </si>
  <si>
    <t>GRADE</t>
  </si>
  <si>
    <t>TOTAL MARKS</t>
  </si>
  <si>
    <t>OBTAIN MARKS</t>
  </si>
  <si>
    <t>State</t>
  </si>
  <si>
    <t>S.no</t>
  </si>
  <si>
    <t xml:space="preserve">Paper </t>
  </si>
  <si>
    <t>Paper Marks</t>
  </si>
  <si>
    <t>Comp</t>
  </si>
  <si>
    <t>.MQuran</t>
  </si>
  <si>
    <t>Clas 1st Year result Annual-Exam-1   12-Feb-2024</t>
  </si>
  <si>
    <t>GHSS TAJAZAI LAKKI MARWAT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</si>
</sst>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15" fontId="3" fillId="5" borderId="10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0" fillId="8" borderId="9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vertical="center"/>
    </xf>
    <xf numFmtId="0" fontId="0" fillId="8" borderId="13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7" xfId="0" applyFill="1" applyBorder="1" applyAlignment="1">
      <alignment horizontal="center"/>
    </xf>
    <xf numFmtId="0" fontId="1" fillId="8" borderId="9" xfId="0" applyFont="1" applyFill="1" applyBorder="1" applyAlignment="1">
      <alignment horizontal="left" vertical="center"/>
    </xf>
    <xf numFmtId="0" fontId="1" fillId="8" borderId="16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164" fontId="4" fillId="12" borderId="3" xfId="0" applyNumberFormat="1" applyFont="1" applyFill="1" applyBorder="1" applyAlignment="1">
      <alignment horizontal="center" vertical="center"/>
    </xf>
    <xf numFmtId="164" fontId="4" fillId="12" borderId="6" xfId="0" applyNumberFormat="1" applyFont="1" applyFill="1" applyBorder="1" applyAlignment="1">
      <alignment horizontal="center" vertical="center"/>
    </xf>
    <xf numFmtId="164" fontId="4" fillId="12" borderId="8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0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164" fontId="4" fillId="12" borderId="4" xfId="0" applyNumberFormat="1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4" fillId="16" borderId="9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6" borderId="0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8" fillId="17" borderId="0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7"/>
  <sheetViews>
    <sheetView tabSelected="1" zoomScale="77" zoomScaleNormal="77" workbookViewId="0">
      <selection activeCell="V33" sqref="V33"/>
    </sheetView>
  </sheetViews>
  <sheetFormatPr defaultRowHeight="15" x14ac:dyDescent="0.25"/>
  <cols>
    <col min="4" max="5" width="9.140625" customWidth="1"/>
    <col min="6" max="6" width="2.28515625" customWidth="1"/>
    <col min="7" max="7" width="11.140625" bestFit="1" customWidth="1"/>
    <col min="12" max="12" width="9.5703125" customWidth="1"/>
  </cols>
  <sheetData>
    <row r="2" spans="1:23" ht="15.75" thickBot="1" x14ac:dyDescent="0.3">
      <c r="A2" s="33"/>
      <c r="B2" s="33"/>
      <c r="C2" s="33"/>
      <c r="D2" s="33"/>
      <c r="E2" s="33"/>
      <c r="F2" s="32"/>
    </row>
    <row r="3" spans="1:23" x14ac:dyDescent="0.25">
      <c r="A3" s="99" t="s">
        <v>63</v>
      </c>
      <c r="B3" s="100"/>
      <c r="C3" s="100"/>
      <c r="D3" s="100"/>
      <c r="E3" s="101"/>
      <c r="F3" s="32"/>
    </row>
    <row r="4" spans="1:23" ht="15.75" thickBot="1" x14ac:dyDescent="0.3">
      <c r="A4" s="102"/>
      <c r="B4" s="103"/>
      <c r="C4" s="103"/>
      <c r="D4" s="103"/>
      <c r="E4" s="104"/>
      <c r="F4" s="32"/>
    </row>
    <row r="5" spans="1:23" x14ac:dyDescent="0.25">
      <c r="A5" s="105" t="s">
        <v>64</v>
      </c>
      <c r="B5" s="106"/>
      <c r="C5" s="109">
        <v>11213</v>
      </c>
      <c r="D5" s="110"/>
      <c r="E5" s="111"/>
      <c r="F5" s="32"/>
      <c r="G5" s="1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</row>
    <row r="6" spans="1:23" ht="15.75" thickBot="1" x14ac:dyDescent="0.3">
      <c r="A6" s="107"/>
      <c r="B6" s="108"/>
      <c r="C6" s="112"/>
      <c r="D6" s="113"/>
      <c r="E6" s="114"/>
      <c r="F6" s="32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thickBot="1" x14ac:dyDescent="0.3">
      <c r="A7" s="105" t="s">
        <v>0</v>
      </c>
      <c r="B7" s="106"/>
      <c r="C7" s="109" t="str">
        <f>LOOKUP(C5,G11:G25,H11:H25)</f>
        <v>Shaheen</v>
      </c>
      <c r="D7" s="110"/>
      <c r="E7" s="111"/>
      <c r="F7" s="32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</row>
    <row r="8" spans="1:23" ht="15.75" thickBot="1" x14ac:dyDescent="0.3">
      <c r="A8" s="107"/>
      <c r="B8" s="108"/>
      <c r="C8" s="112"/>
      <c r="D8" s="113"/>
      <c r="E8" s="114"/>
      <c r="F8" s="32"/>
      <c r="G8" s="10" t="s">
        <v>2</v>
      </c>
      <c r="H8" s="11"/>
      <c r="I8" s="12" t="s">
        <v>12</v>
      </c>
      <c r="J8" s="13"/>
      <c r="K8" s="10" t="s">
        <v>1</v>
      </c>
      <c r="L8" s="11"/>
      <c r="M8" s="14">
        <v>45700</v>
      </c>
      <c r="N8" s="13"/>
      <c r="O8" s="15" t="s">
        <v>13</v>
      </c>
      <c r="P8" s="16"/>
      <c r="Q8" s="17" t="s">
        <v>14</v>
      </c>
      <c r="R8" s="18"/>
      <c r="S8" s="12" t="s">
        <v>15</v>
      </c>
      <c r="T8" s="13"/>
      <c r="U8" s="12" t="s">
        <v>16</v>
      </c>
      <c r="V8" s="19"/>
      <c r="W8" s="13"/>
    </row>
    <row r="9" spans="1:23" ht="15.75" thickBot="1" x14ac:dyDescent="0.3">
      <c r="A9" s="105" t="s">
        <v>2</v>
      </c>
      <c r="B9" s="106"/>
      <c r="C9" s="109" t="str">
        <f>LOOKUP(C5,G11:G25,I11:I25)</f>
        <v>1st Year</v>
      </c>
      <c r="D9" s="110"/>
      <c r="E9" s="111"/>
      <c r="F9" s="32"/>
      <c r="G9" s="34" t="s">
        <v>17</v>
      </c>
      <c r="H9" s="20" t="s">
        <v>18</v>
      </c>
      <c r="I9" s="20" t="s">
        <v>2</v>
      </c>
      <c r="J9" s="20" t="s">
        <v>19</v>
      </c>
      <c r="K9" s="21" t="s">
        <v>20</v>
      </c>
      <c r="L9" s="22"/>
      <c r="M9" s="22"/>
      <c r="N9" s="22"/>
      <c r="O9" s="22"/>
      <c r="P9" s="22"/>
      <c r="Q9" s="22"/>
      <c r="R9" s="22"/>
      <c r="S9" s="22"/>
      <c r="T9" s="23" t="s">
        <v>21</v>
      </c>
      <c r="U9" s="23" t="s">
        <v>22</v>
      </c>
      <c r="V9" s="20" t="s">
        <v>23</v>
      </c>
      <c r="W9" s="24" t="s">
        <v>24</v>
      </c>
    </row>
    <row r="10" spans="1:23" ht="15.75" thickBot="1" x14ac:dyDescent="0.3">
      <c r="A10" s="107"/>
      <c r="B10" s="108"/>
      <c r="C10" s="112"/>
      <c r="D10" s="113"/>
      <c r="E10" s="114"/>
      <c r="F10" s="32"/>
      <c r="G10" s="35"/>
      <c r="H10" s="25"/>
      <c r="I10" s="25"/>
      <c r="J10" s="25"/>
      <c r="K10" s="26" t="s">
        <v>25</v>
      </c>
      <c r="L10" s="26" t="s">
        <v>26</v>
      </c>
      <c r="M10" s="26" t="s">
        <v>27</v>
      </c>
      <c r="N10" s="26" t="s">
        <v>28</v>
      </c>
      <c r="O10" s="26" t="s">
        <v>29</v>
      </c>
      <c r="P10" s="26" t="s">
        <v>30</v>
      </c>
      <c r="Q10" s="26" t="s">
        <v>6</v>
      </c>
      <c r="R10" s="26" t="s">
        <v>31</v>
      </c>
      <c r="S10" s="26" t="s">
        <v>32</v>
      </c>
      <c r="T10" s="25"/>
      <c r="U10" s="25"/>
      <c r="V10" s="25"/>
      <c r="W10" s="27"/>
    </row>
    <row r="11" spans="1:23" x14ac:dyDescent="0.25">
      <c r="A11" s="105" t="s">
        <v>65</v>
      </c>
      <c r="B11" s="106"/>
      <c r="C11" s="109" t="str">
        <f>LOOKUP(C5,G11:G25,J11:J25)</f>
        <v>Afridi</v>
      </c>
      <c r="D11" s="110"/>
      <c r="E11" s="111"/>
      <c r="F11" s="32"/>
      <c r="G11" s="28">
        <v>11201</v>
      </c>
      <c r="H11" s="28" t="s">
        <v>33</v>
      </c>
      <c r="I11" s="28" t="s">
        <v>3</v>
      </c>
      <c r="J11" s="28" t="s">
        <v>34</v>
      </c>
      <c r="K11" s="29">
        <v>72</v>
      </c>
      <c r="L11" s="29">
        <v>73</v>
      </c>
      <c r="M11" s="29">
        <v>73</v>
      </c>
      <c r="N11" s="29">
        <v>33</v>
      </c>
      <c r="O11" s="29">
        <v>33</v>
      </c>
      <c r="P11" s="29">
        <v>44</v>
      </c>
      <c r="Q11" s="29">
        <v>54</v>
      </c>
      <c r="R11" s="29">
        <v>50</v>
      </c>
      <c r="S11" s="29">
        <v>50</v>
      </c>
      <c r="T11" s="30">
        <f t="shared" ref="T11:T25" si="0">SUM(K11:S11)</f>
        <v>482</v>
      </c>
      <c r="U11" s="30">
        <v>600</v>
      </c>
      <c r="V11" s="30" t="str">
        <f>IF(T11&gt;550,"A",IF(T11&gt;500,"B",IF(T11&gt;300,"C",IF(T11&lt;200,"D"))))</f>
        <v>C</v>
      </c>
      <c r="W11" s="31">
        <f>T11/U11</f>
        <v>0.80333333333333334</v>
      </c>
    </row>
    <row r="12" spans="1:23" ht="18.75" customHeight="1" thickBot="1" x14ac:dyDescent="0.3">
      <c r="A12" s="107"/>
      <c r="B12" s="108"/>
      <c r="C12" s="112"/>
      <c r="D12" s="113"/>
      <c r="E12" s="114"/>
      <c r="F12" s="32"/>
      <c r="G12" s="28">
        <v>11202</v>
      </c>
      <c r="H12" s="28" t="s">
        <v>35</v>
      </c>
      <c r="I12" s="28" t="s">
        <v>3</v>
      </c>
      <c r="J12" s="28" t="s">
        <v>36</v>
      </c>
      <c r="K12" s="29">
        <v>73</v>
      </c>
      <c r="L12" s="29">
        <v>56</v>
      </c>
      <c r="M12" s="29">
        <v>65</v>
      </c>
      <c r="N12" s="29">
        <v>45</v>
      </c>
      <c r="O12" s="29">
        <v>35</v>
      </c>
      <c r="P12" s="29">
        <v>43</v>
      </c>
      <c r="Q12" s="29">
        <v>54</v>
      </c>
      <c r="R12" s="29">
        <v>65</v>
      </c>
      <c r="S12" s="29">
        <v>45</v>
      </c>
      <c r="T12" s="30">
        <f t="shared" si="0"/>
        <v>481</v>
      </c>
      <c r="U12" s="30">
        <v>600</v>
      </c>
      <c r="V12" s="30" t="str">
        <f t="shared" ref="V12:V25" si="1">IF(T12&gt;550,"A",IF(T12&gt;500,"B",IF(T12&gt;300,"C",IF(T12&lt;200,"D"))))</f>
        <v>C</v>
      </c>
      <c r="W12" s="31">
        <f t="shared" ref="W12:W25" si="2">T12/U12</f>
        <v>0.80166666666666664</v>
      </c>
    </row>
    <row r="13" spans="1:23" x14ac:dyDescent="0.25">
      <c r="A13" s="105" t="s">
        <v>25</v>
      </c>
      <c r="B13" s="106"/>
      <c r="C13" s="109">
        <f>LOOKUP(C5,G11:G25,K11:K25)</f>
        <v>72</v>
      </c>
      <c r="D13" s="110"/>
      <c r="E13" s="111"/>
      <c r="F13" s="32"/>
      <c r="G13" s="28">
        <v>11203</v>
      </c>
      <c r="H13" s="28" t="s">
        <v>37</v>
      </c>
      <c r="I13" s="28" t="s">
        <v>3</v>
      </c>
      <c r="J13" s="28" t="s">
        <v>38</v>
      </c>
      <c r="K13" s="29">
        <v>67</v>
      </c>
      <c r="L13" s="29">
        <v>11</v>
      </c>
      <c r="M13" s="29">
        <v>22</v>
      </c>
      <c r="N13" s="29">
        <v>33</v>
      </c>
      <c r="O13" s="29">
        <v>33</v>
      </c>
      <c r="P13" s="29">
        <v>41</v>
      </c>
      <c r="Q13" s="29">
        <v>11</v>
      </c>
      <c r="R13" s="29">
        <v>11</v>
      </c>
      <c r="S13" s="29">
        <v>22</v>
      </c>
      <c r="T13" s="30">
        <f t="shared" si="0"/>
        <v>251</v>
      </c>
      <c r="U13" s="30">
        <v>600</v>
      </c>
      <c r="V13" s="30" t="str">
        <f>IF(T13&gt;550,"A",IF(T13&gt;500,"B",IF(T13&gt;300,"C",IF(T13&lt;300,"D"))))</f>
        <v>D</v>
      </c>
      <c r="W13" s="31">
        <f t="shared" si="2"/>
        <v>0.41833333333333333</v>
      </c>
    </row>
    <row r="14" spans="1:23" ht="15.75" thickBot="1" x14ac:dyDescent="0.3">
      <c r="A14" s="107"/>
      <c r="B14" s="108"/>
      <c r="C14" s="112"/>
      <c r="D14" s="113"/>
      <c r="E14" s="114"/>
      <c r="F14" s="32"/>
      <c r="G14" s="28">
        <v>11204</v>
      </c>
      <c r="H14" s="28" t="s">
        <v>39</v>
      </c>
      <c r="I14" s="28" t="s">
        <v>3</v>
      </c>
      <c r="J14" s="28" t="s">
        <v>40</v>
      </c>
      <c r="K14" s="29">
        <v>71</v>
      </c>
      <c r="L14" s="29">
        <v>53</v>
      </c>
      <c r="M14" s="29">
        <v>54</v>
      </c>
      <c r="N14" s="29">
        <v>67</v>
      </c>
      <c r="O14" s="29">
        <v>45</v>
      </c>
      <c r="P14" s="29">
        <v>23</v>
      </c>
      <c r="Q14" s="29">
        <v>53</v>
      </c>
      <c r="R14" s="29">
        <v>34</v>
      </c>
      <c r="S14" s="29">
        <v>45</v>
      </c>
      <c r="T14" s="30">
        <f t="shared" si="0"/>
        <v>445</v>
      </c>
      <c r="U14" s="30">
        <v>600</v>
      </c>
      <c r="V14" s="30" t="str">
        <f t="shared" si="1"/>
        <v>C</v>
      </c>
      <c r="W14" s="31">
        <f t="shared" si="2"/>
        <v>0.7416666666666667</v>
      </c>
    </row>
    <row r="15" spans="1:23" x14ac:dyDescent="0.25">
      <c r="A15" s="105" t="s">
        <v>8</v>
      </c>
      <c r="B15" s="106"/>
      <c r="C15" s="109">
        <f>LOOKUP(C5,G11:G25,L11:L25)</f>
        <v>34</v>
      </c>
      <c r="D15" s="110"/>
      <c r="E15" s="111"/>
      <c r="F15" s="32"/>
      <c r="G15" s="28">
        <v>11205</v>
      </c>
      <c r="H15" s="28" t="s">
        <v>41</v>
      </c>
      <c r="I15" s="28" t="s">
        <v>3</v>
      </c>
      <c r="J15" s="28" t="s">
        <v>42</v>
      </c>
      <c r="K15" s="29">
        <v>47</v>
      </c>
      <c r="L15" s="29">
        <v>56</v>
      </c>
      <c r="M15" s="29">
        <v>65</v>
      </c>
      <c r="N15" s="29">
        <v>21</v>
      </c>
      <c r="O15" s="29">
        <v>23</v>
      </c>
      <c r="P15" s="29">
        <v>45</v>
      </c>
      <c r="Q15" s="29">
        <v>67</v>
      </c>
      <c r="R15" s="29">
        <v>54</v>
      </c>
      <c r="S15" s="29">
        <v>64</v>
      </c>
      <c r="T15" s="30">
        <f t="shared" si="0"/>
        <v>442</v>
      </c>
      <c r="U15" s="30">
        <v>600</v>
      </c>
      <c r="V15" s="30" t="str">
        <f t="shared" si="1"/>
        <v>C</v>
      </c>
      <c r="W15" s="31">
        <f t="shared" si="2"/>
        <v>0.73666666666666669</v>
      </c>
    </row>
    <row r="16" spans="1:23" ht="15.75" thickBot="1" x14ac:dyDescent="0.3">
      <c r="A16" s="107"/>
      <c r="B16" s="108"/>
      <c r="C16" s="112"/>
      <c r="D16" s="113"/>
      <c r="E16" s="114"/>
      <c r="F16" s="32"/>
      <c r="G16" s="28">
        <v>11206</v>
      </c>
      <c r="H16" s="28" t="s">
        <v>43</v>
      </c>
      <c r="I16" s="28" t="s">
        <v>3</v>
      </c>
      <c r="J16" s="28" t="s">
        <v>44</v>
      </c>
      <c r="K16" s="29">
        <v>54</v>
      </c>
      <c r="L16" s="29">
        <v>73</v>
      </c>
      <c r="M16" s="29">
        <v>34</v>
      </c>
      <c r="N16" s="29">
        <v>23</v>
      </c>
      <c r="O16" s="29">
        <v>71</v>
      </c>
      <c r="P16" s="29">
        <v>45</v>
      </c>
      <c r="Q16" s="29">
        <v>45</v>
      </c>
      <c r="R16" s="29">
        <v>66</v>
      </c>
      <c r="S16" s="29">
        <v>45</v>
      </c>
      <c r="T16" s="30">
        <f t="shared" si="0"/>
        <v>456</v>
      </c>
      <c r="U16" s="30">
        <v>600</v>
      </c>
      <c r="V16" s="30" t="str">
        <f t="shared" si="1"/>
        <v>C</v>
      </c>
      <c r="W16" s="31">
        <f t="shared" si="2"/>
        <v>0.76</v>
      </c>
    </row>
    <row r="17" spans="1:23" x14ac:dyDescent="0.25">
      <c r="A17" s="105" t="s">
        <v>66</v>
      </c>
      <c r="B17" s="106"/>
      <c r="C17" s="109">
        <f>LOOKUP(C5,G11:G25,N11:N25)</f>
        <v>43</v>
      </c>
      <c r="D17" s="110"/>
      <c r="E17" s="111"/>
      <c r="F17" s="32"/>
      <c r="G17" s="28">
        <v>11207</v>
      </c>
      <c r="H17" s="28" t="s">
        <v>45</v>
      </c>
      <c r="I17" s="28" t="s">
        <v>3</v>
      </c>
      <c r="J17" s="28" t="s">
        <v>46</v>
      </c>
      <c r="K17" s="29">
        <v>67</v>
      </c>
      <c r="L17" s="29">
        <v>43</v>
      </c>
      <c r="M17" s="29">
        <v>23</v>
      </c>
      <c r="N17" s="29">
        <v>23</v>
      </c>
      <c r="O17" s="29">
        <v>34</v>
      </c>
      <c r="P17" s="29">
        <v>55</v>
      </c>
      <c r="Q17" s="29">
        <v>45</v>
      </c>
      <c r="R17" s="29">
        <v>45</v>
      </c>
      <c r="S17" s="29">
        <v>21</v>
      </c>
      <c r="T17" s="30">
        <f t="shared" si="0"/>
        <v>356</v>
      </c>
      <c r="U17" s="30">
        <v>600</v>
      </c>
      <c r="V17" s="30" t="str">
        <f t="shared" si="1"/>
        <v>C</v>
      </c>
      <c r="W17" s="31">
        <f t="shared" si="2"/>
        <v>0.59333333333333338</v>
      </c>
    </row>
    <row r="18" spans="1:23" ht="15.75" thickBot="1" x14ac:dyDescent="0.3">
      <c r="A18" s="107"/>
      <c r="B18" s="108"/>
      <c r="C18" s="112"/>
      <c r="D18" s="113"/>
      <c r="E18" s="114"/>
      <c r="F18" s="32"/>
      <c r="G18" s="28">
        <v>11208</v>
      </c>
      <c r="H18" s="28" t="s">
        <v>47</v>
      </c>
      <c r="I18" s="28" t="s">
        <v>3</v>
      </c>
      <c r="J18" s="28" t="s">
        <v>48</v>
      </c>
      <c r="K18" s="29">
        <v>19</v>
      </c>
      <c r="L18" s="29">
        <v>54</v>
      </c>
      <c r="M18" s="29">
        <v>45</v>
      </c>
      <c r="N18" s="29">
        <v>21</v>
      </c>
      <c r="O18" s="29">
        <v>12</v>
      </c>
      <c r="P18" s="29">
        <v>32</v>
      </c>
      <c r="Q18" s="29">
        <v>43</v>
      </c>
      <c r="R18" s="29">
        <v>34</v>
      </c>
      <c r="S18" s="29">
        <v>71</v>
      </c>
      <c r="T18" s="30">
        <f t="shared" si="0"/>
        <v>331</v>
      </c>
      <c r="U18" s="30">
        <v>600</v>
      </c>
      <c r="V18" s="30" t="str">
        <f t="shared" si="1"/>
        <v>C</v>
      </c>
      <c r="W18" s="31">
        <f t="shared" si="2"/>
        <v>0.55166666666666664</v>
      </c>
    </row>
    <row r="19" spans="1:23" x14ac:dyDescent="0.25">
      <c r="A19" s="105" t="s">
        <v>67</v>
      </c>
      <c r="B19" s="106"/>
      <c r="C19" s="109">
        <f>LOOKUP(C5,G11:G25,O11:O25)</f>
        <v>65</v>
      </c>
      <c r="D19" s="110"/>
      <c r="E19" s="111"/>
      <c r="F19" s="32"/>
      <c r="G19" s="28">
        <v>11209</v>
      </c>
      <c r="H19" s="28" t="s">
        <v>49</v>
      </c>
      <c r="I19" s="28" t="s">
        <v>3</v>
      </c>
      <c r="J19" s="28" t="s">
        <v>50</v>
      </c>
      <c r="K19" s="29">
        <v>45</v>
      </c>
      <c r="L19" s="29">
        <v>23</v>
      </c>
      <c r="M19" s="29">
        <v>67</v>
      </c>
      <c r="N19" s="29">
        <v>45</v>
      </c>
      <c r="O19" s="29">
        <v>32</v>
      </c>
      <c r="P19" s="29">
        <v>24</v>
      </c>
      <c r="Q19" s="29">
        <v>67</v>
      </c>
      <c r="R19" s="29">
        <v>36</v>
      </c>
      <c r="S19" s="29">
        <v>12</v>
      </c>
      <c r="T19" s="30">
        <f t="shared" si="0"/>
        <v>351</v>
      </c>
      <c r="U19" s="30">
        <v>600</v>
      </c>
      <c r="V19" s="30" t="str">
        <f t="shared" si="1"/>
        <v>C</v>
      </c>
      <c r="W19" s="31">
        <f t="shared" si="2"/>
        <v>0.58499999999999996</v>
      </c>
    </row>
    <row r="20" spans="1:23" ht="15.75" thickBot="1" x14ac:dyDescent="0.3">
      <c r="A20" s="107"/>
      <c r="B20" s="108"/>
      <c r="C20" s="112"/>
      <c r="D20" s="113"/>
      <c r="E20" s="114"/>
      <c r="F20" s="32"/>
      <c r="G20" s="28">
        <v>11210</v>
      </c>
      <c r="H20" s="28" t="s">
        <v>51</v>
      </c>
      <c r="I20" s="28" t="s">
        <v>3</v>
      </c>
      <c r="J20" s="28" t="s">
        <v>52</v>
      </c>
      <c r="K20" s="29">
        <v>65</v>
      </c>
      <c r="L20" s="29">
        <v>43</v>
      </c>
      <c r="M20" s="29">
        <v>12</v>
      </c>
      <c r="N20" s="29">
        <v>54</v>
      </c>
      <c r="O20" s="29">
        <v>64</v>
      </c>
      <c r="P20" s="29">
        <v>54</v>
      </c>
      <c r="Q20" s="29">
        <v>36</v>
      </c>
      <c r="R20" s="29">
        <v>67</v>
      </c>
      <c r="S20" s="29">
        <v>74</v>
      </c>
      <c r="T20" s="30">
        <f t="shared" si="0"/>
        <v>469</v>
      </c>
      <c r="U20" s="30">
        <v>600</v>
      </c>
      <c r="V20" s="30" t="str">
        <f t="shared" si="1"/>
        <v>C</v>
      </c>
      <c r="W20" s="31">
        <f t="shared" si="2"/>
        <v>0.78166666666666662</v>
      </c>
    </row>
    <row r="21" spans="1:23" x14ac:dyDescent="0.25">
      <c r="A21" s="105" t="s">
        <v>7</v>
      </c>
      <c r="B21" s="106"/>
      <c r="C21" s="109">
        <f>LOOKUP(C5,G11:G25,P11:P25)</f>
        <v>54</v>
      </c>
      <c r="D21" s="110"/>
      <c r="E21" s="111"/>
      <c r="F21" s="32"/>
      <c r="G21" s="28">
        <v>11211</v>
      </c>
      <c r="H21" s="28" t="s">
        <v>53</v>
      </c>
      <c r="I21" s="28" t="s">
        <v>3</v>
      </c>
      <c r="J21" s="28" t="s">
        <v>54</v>
      </c>
      <c r="K21" s="29">
        <v>34</v>
      </c>
      <c r="L21" s="29">
        <v>56</v>
      </c>
      <c r="M21" s="29">
        <v>22</v>
      </c>
      <c r="N21" s="29">
        <v>46</v>
      </c>
      <c r="O21" s="29">
        <v>45</v>
      </c>
      <c r="P21" s="29">
        <v>32</v>
      </c>
      <c r="Q21" s="29">
        <v>42</v>
      </c>
      <c r="R21" s="29">
        <v>65</v>
      </c>
      <c r="S21" s="29">
        <v>12</v>
      </c>
      <c r="T21" s="30">
        <f t="shared" si="0"/>
        <v>354</v>
      </c>
      <c r="U21" s="30">
        <v>600</v>
      </c>
      <c r="V21" s="30" t="str">
        <f t="shared" si="1"/>
        <v>C</v>
      </c>
      <c r="W21" s="31">
        <f t="shared" si="2"/>
        <v>0.59</v>
      </c>
    </row>
    <row r="22" spans="1:23" ht="15.75" thickBot="1" x14ac:dyDescent="0.3">
      <c r="A22" s="107"/>
      <c r="B22" s="108"/>
      <c r="C22" s="112"/>
      <c r="D22" s="113"/>
      <c r="E22" s="114"/>
      <c r="F22" s="32"/>
      <c r="G22" s="28">
        <v>11212</v>
      </c>
      <c r="H22" s="28" t="s">
        <v>55</v>
      </c>
      <c r="I22" s="28" t="s">
        <v>3</v>
      </c>
      <c r="J22" s="28" t="s">
        <v>56</v>
      </c>
      <c r="K22" s="29">
        <v>56</v>
      </c>
      <c r="L22" s="29">
        <v>72</v>
      </c>
      <c r="M22" s="29">
        <v>45</v>
      </c>
      <c r="N22" s="29">
        <v>49</v>
      </c>
      <c r="O22" s="29">
        <v>43</v>
      </c>
      <c r="P22" s="29">
        <v>56</v>
      </c>
      <c r="Q22" s="29">
        <v>65</v>
      </c>
      <c r="R22" s="29">
        <v>57</v>
      </c>
      <c r="S22" s="29">
        <v>34</v>
      </c>
      <c r="T22" s="30">
        <f t="shared" si="0"/>
        <v>477</v>
      </c>
      <c r="U22" s="30">
        <v>600</v>
      </c>
      <c r="V22" s="30" t="str">
        <f t="shared" si="1"/>
        <v>C</v>
      </c>
      <c r="W22" s="31">
        <f t="shared" si="2"/>
        <v>0.79500000000000004</v>
      </c>
    </row>
    <row r="23" spans="1:23" x14ac:dyDescent="0.25">
      <c r="A23" s="105" t="s">
        <v>6</v>
      </c>
      <c r="B23" s="106"/>
      <c r="C23" s="109">
        <f>LOOKUP(C5,G11:G25,Q11:Q25)</f>
        <v>56</v>
      </c>
      <c r="D23" s="110"/>
      <c r="E23" s="111"/>
      <c r="F23" s="32"/>
      <c r="G23" s="28">
        <v>11213</v>
      </c>
      <c r="H23" s="28" t="s">
        <v>57</v>
      </c>
      <c r="I23" s="28" t="s">
        <v>3</v>
      </c>
      <c r="J23" s="28" t="s">
        <v>58</v>
      </c>
      <c r="K23" s="29">
        <v>72</v>
      </c>
      <c r="L23" s="29">
        <v>34</v>
      </c>
      <c r="M23" s="29">
        <v>67</v>
      </c>
      <c r="N23" s="29">
        <v>43</v>
      </c>
      <c r="O23" s="29">
        <v>65</v>
      </c>
      <c r="P23" s="29">
        <v>54</v>
      </c>
      <c r="Q23" s="29">
        <v>56</v>
      </c>
      <c r="R23" s="29">
        <v>65</v>
      </c>
      <c r="S23" s="29">
        <v>56</v>
      </c>
      <c r="T23" s="30">
        <f t="shared" si="0"/>
        <v>512</v>
      </c>
      <c r="U23" s="30">
        <v>600</v>
      </c>
      <c r="V23" s="30" t="str">
        <f t="shared" si="1"/>
        <v>B</v>
      </c>
      <c r="W23" s="31">
        <f t="shared" si="2"/>
        <v>0.85333333333333339</v>
      </c>
    </row>
    <row r="24" spans="1:23" ht="15.75" thickBot="1" x14ac:dyDescent="0.3">
      <c r="A24" s="107"/>
      <c r="B24" s="108"/>
      <c r="C24" s="112"/>
      <c r="D24" s="113"/>
      <c r="E24" s="114"/>
      <c r="F24" s="32"/>
      <c r="G24" s="28">
        <v>11214</v>
      </c>
      <c r="H24" s="28" t="s">
        <v>59</v>
      </c>
      <c r="I24" s="28" t="s">
        <v>3</v>
      </c>
      <c r="J24" s="28" t="s">
        <v>60</v>
      </c>
      <c r="K24" s="29">
        <v>9</v>
      </c>
      <c r="L24" s="29">
        <v>54</v>
      </c>
      <c r="M24" s="29">
        <v>45</v>
      </c>
      <c r="N24" s="29">
        <v>54</v>
      </c>
      <c r="O24" s="29">
        <v>45</v>
      </c>
      <c r="P24" s="29">
        <v>56</v>
      </c>
      <c r="Q24" s="29">
        <v>45</v>
      </c>
      <c r="R24" s="29">
        <v>54</v>
      </c>
      <c r="S24" s="29">
        <v>65</v>
      </c>
      <c r="T24" s="30">
        <f t="shared" si="0"/>
        <v>427</v>
      </c>
      <c r="U24" s="30">
        <v>600</v>
      </c>
      <c r="V24" s="30" t="str">
        <f t="shared" si="1"/>
        <v>C</v>
      </c>
      <c r="W24" s="31">
        <f t="shared" si="2"/>
        <v>0.71166666666666667</v>
      </c>
    </row>
    <row r="25" spans="1:23" x14ac:dyDescent="0.25">
      <c r="A25" s="105" t="s">
        <v>9</v>
      </c>
      <c r="B25" s="106"/>
      <c r="C25" s="109">
        <f>LOOKUP(C5,G11:G25,R11:R25)</f>
        <v>65</v>
      </c>
      <c r="D25" s="110"/>
      <c r="E25" s="111"/>
      <c r="F25" s="32"/>
      <c r="G25" s="28">
        <v>11215</v>
      </c>
      <c r="H25" s="28" t="s">
        <v>61</v>
      </c>
      <c r="I25" s="28" t="s">
        <v>3</v>
      </c>
      <c r="J25" s="28" t="s">
        <v>62</v>
      </c>
      <c r="K25" s="29">
        <v>21</v>
      </c>
      <c r="L25" s="29">
        <v>32</v>
      </c>
      <c r="M25" s="29">
        <v>44</v>
      </c>
      <c r="N25" s="29">
        <v>54</v>
      </c>
      <c r="O25" s="29">
        <v>65</v>
      </c>
      <c r="P25" s="29">
        <v>64</v>
      </c>
      <c r="Q25" s="29">
        <v>56</v>
      </c>
      <c r="R25" s="29">
        <v>43</v>
      </c>
      <c r="S25" s="29">
        <v>56</v>
      </c>
      <c r="T25" s="30">
        <f t="shared" si="0"/>
        <v>435</v>
      </c>
      <c r="U25" s="30">
        <v>600</v>
      </c>
      <c r="V25" s="30" t="str">
        <f t="shared" si="1"/>
        <v>C</v>
      </c>
      <c r="W25" s="31">
        <f t="shared" si="2"/>
        <v>0.72499999999999998</v>
      </c>
    </row>
    <row r="26" spans="1:23" ht="15.75" thickBot="1" x14ac:dyDescent="0.3">
      <c r="A26" s="107"/>
      <c r="B26" s="108"/>
      <c r="C26" s="112"/>
      <c r="D26" s="113"/>
      <c r="E26" s="114"/>
      <c r="F26" s="32"/>
    </row>
    <row r="27" spans="1:23" x14ac:dyDescent="0.25">
      <c r="A27" s="105" t="s">
        <v>32</v>
      </c>
      <c r="B27" s="106"/>
      <c r="C27" s="109">
        <f>LOOKUP(C5,G11:G25,S11:S25)</f>
        <v>56</v>
      </c>
      <c r="D27" s="110"/>
      <c r="E27" s="111"/>
      <c r="F27" s="32"/>
    </row>
    <row r="28" spans="1:23" ht="15.75" thickBot="1" x14ac:dyDescent="0.3">
      <c r="A28" s="107"/>
      <c r="B28" s="108"/>
      <c r="C28" s="112"/>
      <c r="D28" s="113"/>
      <c r="E28" s="114"/>
      <c r="F28" s="32"/>
    </row>
    <row r="29" spans="1:23" x14ac:dyDescent="0.25">
      <c r="A29" s="105" t="s">
        <v>4</v>
      </c>
      <c r="B29" s="106"/>
      <c r="C29" s="109">
        <f>LOOKUP(C5,G11:G25,T11:T25)</f>
        <v>512</v>
      </c>
      <c r="D29" s="110"/>
      <c r="E29" s="111"/>
      <c r="F29" s="32"/>
    </row>
    <row r="30" spans="1:23" ht="15.75" thickBot="1" x14ac:dyDescent="0.3">
      <c r="A30" s="107"/>
      <c r="B30" s="108"/>
      <c r="C30" s="112"/>
      <c r="D30" s="113"/>
      <c r="E30" s="114"/>
      <c r="F30" s="32"/>
    </row>
    <row r="31" spans="1:23" x14ac:dyDescent="0.25">
      <c r="A31" s="105" t="s">
        <v>5</v>
      </c>
      <c r="B31" s="106"/>
      <c r="C31" s="109">
        <f>LOOKUP(C5,G11:G25,U11:U25)</f>
        <v>600</v>
      </c>
      <c r="D31" s="110"/>
      <c r="E31" s="111"/>
      <c r="F31" s="32"/>
    </row>
    <row r="32" spans="1:23" ht="15.75" thickBot="1" x14ac:dyDescent="0.3">
      <c r="A32" s="107"/>
      <c r="B32" s="108"/>
      <c r="C32" s="112"/>
      <c r="D32" s="113"/>
      <c r="E32" s="114"/>
      <c r="F32" s="32"/>
    </row>
    <row r="33" spans="1:6" x14ac:dyDescent="0.25">
      <c r="A33" s="105" t="s">
        <v>23</v>
      </c>
      <c r="B33" s="106"/>
      <c r="C33" s="109" t="str">
        <f ca="1">LOOKUP(C5,G11:G25,V11:V24)</f>
        <v>B</v>
      </c>
      <c r="D33" s="110"/>
      <c r="E33" s="111"/>
      <c r="F33" s="32"/>
    </row>
    <row r="34" spans="1:6" ht="15.75" thickBot="1" x14ac:dyDescent="0.3">
      <c r="A34" s="107"/>
      <c r="B34" s="108"/>
      <c r="C34" s="112"/>
      <c r="D34" s="113"/>
      <c r="E34" s="114"/>
      <c r="F34" s="32"/>
    </row>
    <row r="35" spans="1:6" x14ac:dyDescent="0.25">
      <c r="A35" s="105" t="s">
        <v>24</v>
      </c>
      <c r="B35" s="106"/>
      <c r="C35" s="115">
        <f>LOOKUP(C5,G11:G25,W11:W25)</f>
        <v>0.85333333333333339</v>
      </c>
      <c r="D35" s="116"/>
      <c r="E35" s="117"/>
      <c r="F35" s="32"/>
    </row>
    <row r="36" spans="1:6" ht="15.75" thickBot="1" x14ac:dyDescent="0.3">
      <c r="A36" s="107"/>
      <c r="B36" s="108"/>
      <c r="C36" s="118"/>
      <c r="D36" s="119"/>
      <c r="E36" s="120"/>
      <c r="F36" s="32"/>
    </row>
    <row r="37" spans="1:6" x14ac:dyDescent="0.25">
      <c r="A37" s="32"/>
      <c r="B37" s="32"/>
      <c r="C37" s="32"/>
      <c r="D37" s="32"/>
      <c r="E37" s="32"/>
      <c r="F37" s="32"/>
    </row>
  </sheetData>
  <mergeCells count="54">
    <mergeCell ref="A35:B36"/>
    <mergeCell ref="C35:E36"/>
    <mergeCell ref="F2:F36"/>
    <mergeCell ref="A2:E2"/>
    <mergeCell ref="A37:F37"/>
    <mergeCell ref="A29:B30"/>
    <mergeCell ref="C29:E30"/>
    <mergeCell ref="A31:B32"/>
    <mergeCell ref="C31:E32"/>
    <mergeCell ref="A33:B34"/>
    <mergeCell ref="C33:E34"/>
    <mergeCell ref="A5:B6"/>
    <mergeCell ref="C5:E6"/>
    <mergeCell ref="A7:B8"/>
    <mergeCell ref="C7:E8"/>
    <mergeCell ref="A9:B10"/>
    <mergeCell ref="C9:E10"/>
    <mergeCell ref="A25:B26"/>
    <mergeCell ref="C25:E26"/>
    <mergeCell ref="A27:B28"/>
    <mergeCell ref="C27:E28"/>
    <mergeCell ref="A23:B24"/>
    <mergeCell ref="C23:E24"/>
    <mergeCell ref="A19:B20"/>
    <mergeCell ref="C19:E20"/>
    <mergeCell ref="A21:B22"/>
    <mergeCell ref="C21:E22"/>
    <mergeCell ref="A17:B18"/>
    <mergeCell ref="C17:E18"/>
    <mergeCell ref="A13:B14"/>
    <mergeCell ref="C13:E14"/>
    <mergeCell ref="A15:B16"/>
    <mergeCell ref="C15:E16"/>
    <mergeCell ref="A11:B12"/>
    <mergeCell ref="C11:E12"/>
    <mergeCell ref="U9:U10"/>
    <mergeCell ref="V9:V10"/>
    <mergeCell ref="W9:W10"/>
    <mergeCell ref="A3:E4"/>
    <mergeCell ref="G9:G10"/>
    <mergeCell ref="H9:H10"/>
    <mergeCell ref="I9:I10"/>
    <mergeCell ref="J9:J10"/>
    <mergeCell ref="K9:S9"/>
    <mergeCell ref="T9:T10"/>
    <mergeCell ref="G5:W7"/>
    <mergeCell ref="G8:H8"/>
    <mergeCell ref="I8:J8"/>
    <mergeCell ref="K8:L8"/>
    <mergeCell ref="M8:N8"/>
    <mergeCell ref="O8:P8"/>
    <mergeCell ref="Q8:R8"/>
    <mergeCell ref="S8:T8"/>
    <mergeCell ref="U8:W8"/>
  </mergeCells>
  <conditionalFormatting sqref="K11:S25">
    <cfRule type="cellIs" dxfId="1" priority="2" operator="lessThan">
      <formula>25</formula>
    </cfRule>
  </conditionalFormatting>
  <conditionalFormatting sqref="T11:T25">
    <cfRule type="cellIs" dxfId="0" priority="1" operator="greaterThan">
      <formula>477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zoomScale="84" zoomScaleNormal="84" workbookViewId="0">
      <selection activeCell="C9" sqref="C9:I9"/>
    </sheetView>
  </sheetViews>
  <sheetFormatPr defaultRowHeight="15" x14ac:dyDescent="0.25"/>
  <sheetData>
    <row r="2" spans="2:10" ht="15.75" thickBot="1" x14ac:dyDescent="0.3"/>
    <row r="3" spans="2:10" x14ac:dyDescent="0.25">
      <c r="B3" s="88" t="s">
        <v>82</v>
      </c>
      <c r="C3" s="89"/>
      <c r="D3" s="89"/>
      <c r="E3" s="89"/>
      <c r="F3" s="89"/>
      <c r="G3" s="89"/>
      <c r="H3" s="89"/>
      <c r="I3" s="89"/>
      <c r="J3" s="90"/>
    </row>
    <row r="4" spans="2:10" x14ac:dyDescent="0.25">
      <c r="B4" s="91"/>
      <c r="C4" s="92"/>
      <c r="D4" s="92"/>
      <c r="E4" s="92"/>
      <c r="F4" s="92"/>
      <c r="G4" s="92"/>
      <c r="H4" s="92"/>
      <c r="I4" s="92"/>
      <c r="J4" s="93"/>
    </row>
    <row r="5" spans="2:10" ht="15.75" thickBot="1" x14ac:dyDescent="0.3">
      <c r="B5" s="94"/>
      <c r="C5" s="95"/>
      <c r="D5" s="95"/>
      <c r="E5" s="95"/>
      <c r="F5" s="95"/>
      <c r="G5" s="95"/>
      <c r="H5" s="95"/>
      <c r="I5" s="95"/>
      <c r="J5" s="96"/>
    </row>
    <row r="6" spans="2:10" ht="15.75" thickBot="1" x14ac:dyDescent="0.3"/>
    <row r="7" spans="2:10" ht="15" customHeight="1" x14ac:dyDescent="0.25">
      <c r="B7" s="67"/>
      <c r="C7" s="41" t="s">
        <v>68</v>
      </c>
      <c r="D7" s="48"/>
      <c r="E7" s="42"/>
      <c r="F7" s="97"/>
      <c r="G7" s="49">
        <v>11207</v>
      </c>
      <c r="H7" s="50"/>
      <c r="I7" s="51"/>
      <c r="J7" s="64"/>
    </row>
    <row r="8" spans="2:10" ht="15.75" customHeight="1" thickBot="1" x14ac:dyDescent="0.3">
      <c r="B8" s="68"/>
      <c r="C8" s="46"/>
      <c r="D8" s="59"/>
      <c r="E8" s="47"/>
      <c r="F8" s="98"/>
      <c r="G8" s="60"/>
      <c r="H8" s="61"/>
      <c r="I8" s="62"/>
      <c r="J8" s="65"/>
    </row>
    <row r="9" spans="2:10" ht="15.75" thickBot="1" x14ac:dyDescent="0.3">
      <c r="B9" s="69"/>
      <c r="C9" s="85" t="s">
        <v>81</v>
      </c>
      <c r="D9" s="86"/>
      <c r="E9" s="86"/>
      <c r="F9" s="86"/>
      <c r="G9" s="86"/>
      <c r="H9" s="86"/>
      <c r="I9" s="87"/>
      <c r="J9" s="66"/>
    </row>
    <row r="10" spans="2:10" ht="15" customHeight="1" x14ac:dyDescent="0.25">
      <c r="B10" s="41" t="s">
        <v>69</v>
      </c>
      <c r="C10" s="47"/>
      <c r="D10" s="57" t="str">
        <f>LOOKUP(G7,Sheet1!G11:G25,Sheet1!H11:H25)</f>
        <v xml:space="preserve">jamal </v>
      </c>
      <c r="E10" s="58"/>
      <c r="F10" s="70"/>
      <c r="G10" s="46" t="s">
        <v>71</v>
      </c>
      <c r="H10" s="47"/>
      <c r="I10" s="63">
        <f>LOOKUP(G7,Sheet1!G11:G25,Sheet1!W11:W25)</f>
        <v>0.59333333333333338</v>
      </c>
      <c r="J10" s="54"/>
    </row>
    <row r="11" spans="2:10" ht="15.75" customHeight="1" thickBot="1" x14ac:dyDescent="0.3">
      <c r="B11" s="44"/>
      <c r="C11" s="45"/>
      <c r="D11" s="38"/>
      <c r="E11" s="39"/>
      <c r="F11" s="71"/>
      <c r="G11" s="44"/>
      <c r="H11" s="45"/>
      <c r="I11" s="55"/>
      <c r="J11" s="56"/>
    </row>
    <row r="12" spans="2:10" ht="15.75" customHeight="1" x14ac:dyDescent="0.25">
      <c r="B12" s="41" t="s">
        <v>70</v>
      </c>
      <c r="C12" s="42"/>
      <c r="D12" s="36" t="str">
        <f>LOOKUP(G7,Sheet1!G11:G25,Sheet1!J11:J25)</f>
        <v>Kamal</v>
      </c>
      <c r="E12" s="37"/>
      <c r="F12" s="71"/>
      <c r="G12" s="41" t="s">
        <v>72</v>
      </c>
      <c r="H12" s="42"/>
      <c r="I12" s="36" t="str">
        <f>LOOKUP(G7,Sheet1!G11:G25,Sheet1!V11:V25)</f>
        <v>C</v>
      </c>
      <c r="J12" s="37"/>
    </row>
    <row r="13" spans="2:10" ht="16.5" customHeight="1" thickBot="1" x14ac:dyDescent="0.3">
      <c r="B13" s="44"/>
      <c r="C13" s="45"/>
      <c r="D13" s="38"/>
      <c r="E13" s="39"/>
      <c r="F13" s="72"/>
      <c r="G13" s="44"/>
      <c r="H13" s="45"/>
      <c r="I13" s="38"/>
      <c r="J13" s="39"/>
    </row>
    <row r="14" spans="2:10" ht="16.5" thickBot="1" x14ac:dyDescent="0.3">
      <c r="B14" s="81"/>
      <c r="C14" s="82"/>
      <c r="D14" s="82"/>
      <c r="E14" s="83"/>
      <c r="F14" s="75"/>
      <c r="G14" s="76"/>
      <c r="H14" s="76"/>
      <c r="I14" s="76"/>
      <c r="J14" s="77"/>
    </row>
    <row r="15" spans="2:10" ht="16.5" customHeight="1" thickBot="1" x14ac:dyDescent="0.3">
      <c r="B15" s="40" t="s">
        <v>76</v>
      </c>
      <c r="C15" s="40" t="s">
        <v>77</v>
      </c>
      <c r="D15" s="41" t="s">
        <v>78</v>
      </c>
      <c r="E15" s="48"/>
      <c r="F15" s="78"/>
      <c r="G15" s="79"/>
      <c r="H15" s="79"/>
      <c r="I15" s="79"/>
      <c r="J15" s="80"/>
    </row>
    <row r="16" spans="2:10" ht="16.5" customHeight="1" thickBot="1" x14ac:dyDescent="0.3">
      <c r="B16" s="43"/>
      <c r="C16" s="43"/>
      <c r="D16" s="44"/>
      <c r="E16" s="45"/>
      <c r="F16" s="70"/>
      <c r="G16" s="41" t="s">
        <v>73</v>
      </c>
      <c r="H16" s="42"/>
      <c r="I16" s="36">
        <f>LOOKUP(G7,Sheet1!G11:G25,Sheet1!U11:U25)</f>
        <v>600</v>
      </c>
      <c r="J16" s="37"/>
    </row>
    <row r="17" spans="2:10" ht="15.75" customHeight="1" x14ac:dyDescent="0.25">
      <c r="B17" s="52">
        <v>1</v>
      </c>
      <c r="C17" s="52" t="s">
        <v>25</v>
      </c>
      <c r="D17" s="36">
        <f>LOOKUP(G7,Sheet1!G11:G25,Sheet1!K11:K25)</f>
        <v>67</v>
      </c>
      <c r="E17" s="37"/>
      <c r="F17" s="71"/>
      <c r="G17" s="46"/>
      <c r="H17" s="47"/>
      <c r="I17" s="57"/>
      <c r="J17" s="58"/>
    </row>
    <row r="18" spans="2:10" ht="16.5" customHeight="1" thickBot="1" x14ac:dyDescent="0.3">
      <c r="B18" s="53"/>
      <c r="C18" s="53"/>
      <c r="D18" s="38"/>
      <c r="E18" s="39"/>
      <c r="F18" s="71"/>
      <c r="G18" s="44"/>
      <c r="H18" s="45"/>
      <c r="I18" s="38"/>
      <c r="J18" s="39"/>
    </row>
    <row r="19" spans="2:10" ht="15.75" customHeight="1" x14ac:dyDescent="0.25">
      <c r="B19" s="52">
        <v>2</v>
      </c>
      <c r="C19" s="52" t="s">
        <v>79</v>
      </c>
      <c r="D19" s="36">
        <f>LOOKUP(G7,Sheet1!G11:G25,Sheet1!L11:L25)</f>
        <v>43</v>
      </c>
      <c r="E19" s="37"/>
      <c r="F19" s="71"/>
      <c r="G19" s="41" t="s">
        <v>74</v>
      </c>
      <c r="H19" s="42"/>
      <c r="I19" s="36">
        <f>LOOKUP(G7,Sheet1!G11:G25,Sheet1!T11:T25)</f>
        <v>356</v>
      </c>
      <c r="J19" s="37"/>
    </row>
    <row r="20" spans="2:10" ht="16.5" customHeight="1" thickBot="1" x14ac:dyDescent="0.3">
      <c r="B20" s="53"/>
      <c r="C20" s="53"/>
      <c r="D20" s="38"/>
      <c r="E20" s="39"/>
      <c r="F20" s="71"/>
      <c r="G20" s="46"/>
      <c r="H20" s="47"/>
      <c r="I20" s="57"/>
      <c r="J20" s="58"/>
    </row>
    <row r="21" spans="2:10" ht="16.5" customHeight="1" thickBot="1" x14ac:dyDescent="0.3">
      <c r="B21" s="52">
        <v>3</v>
      </c>
      <c r="C21" s="52" t="s">
        <v>66</v>
      </c>
      <c r="D21" s="36">
        <f>LOOKUP(G7,Sheet1!G11:G25,Sheet1!M11:M25)</f>
        <v>23</v>
      </c>
      <c r="E21" s="37"/>
      <c r="F21" s="72"/>
      <c r="G21" s="44"/>
      <c r="H21" s="45"/>
      <c r="I21" s="38"/>
      <c r="J21" s="39"/>
    </row>
    <row r="22" spans="2:10" ht="16.5" customHeight="1" thickBot="1" x14ac:dyDescent="0.3">
      <c r="B22" s="53"/>
      <c r="C22" s="53"/>
      <c r="D22" s="38"/>
      <c r="E22" s="39"/>
      <c r="F22" s="84"/>
      <c r="G22" s="73"/>
      <c r="H22" s="73"/>
      <c r="I22" s="73"/>
      <c r="J22" s="74"/>
    </row>
    <row r="23" spans="2:10" x14ac:dyDescent="0.25">
      <c r="B23" s="52">
        <v>4</v>
      </c>
      <c r="C23" s="52" t="s">
        <v>75</v>
      </c>
      <c r="D23" s="36">
        <f>LOOKUP(G7,Sheet1!G11:G25,Sheet1!N11:N25)</f>
        <v>23</v>
      </c>
      <c r="E23" s="37"/>
      <c r="F23" s="84"/>
      <c r="G23" s="73"/>
      <c r="H23" s="73"/>
      <c r="I23" s="73"/>
      <c r="J23" s="74"/>
    </row>
    <row r="24" spans="2:10" ht="15.75" thickBot="1" x14ac:dyDescent="0.3">
      <c r="B24" s="53"/>
      <c r="C24" s="53"/>
      <c r="D24" s="38"/>
      <c r="E24" s="39"/>
      <c r="F24" s="84"/>
      <c r="G24" s="73"/>
      <c r="H24" s="73"/>
      <c r="I24" s="73"/>
      <c r="J24" s="74"/>
    </row>
    <row r="25" spans="2:10" x14ac:dyDescent="0.25">
      <c r="B25" s="52">
        <v>5</v>
      </c>
      <c r="C25" s="52" t="s">
        <v>10</v>
      </c>
      <c r="D25" s="36">
        <f>LOOKUP(G7,Sheet1!G11:G25,Sheet1!O11:O25)</f>
        <v>34</v>
      </c>
      <c r="E25" s="37"/>
      <c r="F25" s="84"/>
      <c r="G25" s="73"/>
      <c r="H25" s="73"/>
      <c r="I25" s="73"/>
      <c r="J25" s="74"/>
    </row>
    <row r="26" spans="2:10" ht="15.75" thickBot="1" x14ac:dyDescent="0.3">
      <c r="B26" s="53"/>
      <c r="C26" s="53"/>
      <c r="D26" s="38"/>
      <c r="E26" s="39"/>
      <c r="F26" s="84"/>
      <c r="G26" s="73"/>
      <c r="H26" s="73"/>
      <c r="I26" s="73"/>
      <c r="J26" s="74"/>
    </row>
    <row r="27" spans="2:10" x14ac:dyDescent="0.25">
      <c r="B27" s="52">
        <v>6</v>
      </c>
      <c r="C27" s="52" t="s">
        <v>30</v>
      </c>
      <c r="D27" s="36">
        <f>LOOKUP(G7,Sheet1!G11:G25,Sheet1!P11:P25)</f>
        <v>55</v>
      </c>
      <c r="E27" s="37"/>
      <c r="F27" s="84"/>
      <c r="G27" s="73"/>
      <c r="H27" s="73"/>
      <c r="I27" s="73"/>
      <c r="J27" s="74"/>
    </row>
    <row r="28" spans="2:10" ht="15.75" thickBot="1" x14ac:dyDescent="0.3">
      <c r="B28" s="53"/>
      <c r="C28" s="53"/>
      <c r="D28" s="38"/>
      <c r="E28" s="39"/>
      <c r="F28" s="84"/>
      <c r="G28" s="73"/>
      <c r="H28" s="73"/>
      <c r="I28" s="73"/>
      <c r="J28" s="74"/>
    </row>
    <row r="29" spans="2:10" x14ac:dyDescent="0.25">
      <c r="B29" s="52">
        <v>7</v>
      </c>
      <c r="C29" s="52" t="s">
        <v>6</v>
      </c>
      <c r="D29" s="36">
        <f>LOOKUP(G7,Sheet1!G11:G25,Sheet1!Q11:Q25)</f>
        <v>45</v>
      </c>
      <c r="E29" s="37"/>
      <c r="F29" s="84"/>
      <c r="G29" s="73"/>
      <c r="H29" s="73"/>
      <c r="I29" s="73"/>
      <c r="J29" s="74"/>
    </row>
    <row r="30" spans="2:10" ht="15.75" thickBot="1" x14ac:dyDescent="0.3">
      <c r="B30" s="53"/>
      <c r="C30" s="53"/>
      <c r="D30" s="38"/>
      <c r="E30" s="39"/>
      <c r="F30" s="84"/>
      <c r="G30" s="73"/>
      <c r="H30" s="73"/>
      <c r="I30" s="73"/>
      <c r="J30" s="74"/>
    </row>
    <row r="31" spans="2:10" x14ac:dyDescent="0.25">
      <c r="B31" s="52">
        <v>8</v>
      </c>
      <c r="C31" s="52" t="s">
        <v>9</v>
      </c>
      <c r="D31" s="36">
        <f>LOOKUP(G7,Sheet1!G11:G25,Sheet1!R11:R25)</f>
        <v>45</v>
      </c>
      <c r="E31" s="37"/>
      <c r="F31" s="84"/>
      <c r="G31" s="73"/>
      <c r="H31" s="73"/>
      <c r="I31" s="73"/>
      <c r="J31" s="74"/>
    </row>
    <row r="32" spans="2:10" ht="15.75" thickBot="1" x14ac:dyDescent="0.3">
      <c r="B32" s="53"/>
      <c r="C32" s="53"/>
      <c r="D32" s="38"/>
      <c r="E32" s="39"/>
      <c r="F32" s="84"/>
      <c r="G32" s="73"/>
      <c r="H32" s="73"/>
      <c r="I32" s="73"/>
      <c r="J32" s="74"/>
    </row>
    <row r="33" spans="2:10" x14ac:dyDescent="0.25">
      <c r="B33" s="52">
        <v>9</v>
      </c>
      <c r="C33" s="52" t="s">
        <v>80</v>
      </c>
      <c r="D33" s="36">
        <f>LOOKUP(G7,Sheet1!G11:G25,Sheet1!S11:S25)</f>
        <v>21</v>
      </c>
      <c r="E33" s="37"/>
      <c r="F33" s="84"/>
      <c r="G33" s="73"/>
      <c r="H33" s="73"/>
      <c r="I33" s="73"/>
      <c r="J33" s="74"/>
    </row>
    <row r="34" spans="2:10" ht="15.75" thickBot="1" x14ac:dyDescent="0.3">
      <c r="B34" s="53"/>
      <c r="C34" s="53"/>
      <c r="D34" s="38"/>
      <c r="E34" s="39"/>
      <c r="F34" s="78"/>
      <c r="G34" s="79"/>
      <c r="H34" s="79"/>
      <c r="I34" s="79"/>
      <c r="J34" s="80"/>
    </row>
  </sheetData>
  <mergeCells count="54">
    <mergeCell ref="F22:J34"/>
    <mergeCell ref="F16:F21"/>
    <mergeCell ref="F7:F8"/>
    <mergeCell ref="B3:J5"/>
    <mergeCell ref="F14:J15"/>
    <mergeCell ref="J7:J9"/>
    <mergeCell ref="B7:B9"/>
    <mergeCell ref="C9:I9"/>
    <mergeCell ref="B14:E14"/>
    <mergeCell ref="F10:F13"/>
    <mergeCell ref="B31:B32"/>
    <mergeCell ref="C31:C32"/>
    <mergeCell ref="B33:B34"/>
    <mergeCell ref="C33:C34"/>
    <mergeCell ref="D33:E34"/>
    <mergeCell ref="B23:B24"/>
    <mergeCell ref="C23:C24"/>
    <mergeCell ref="B25:B26"/>
    <mergeCell ref="C25:C26"/>
    <mergeCell ref="B27:B28"/>
    <mergeCell ref="C27:C28"/>
    <mergeCell ref="D31:E32"/>
    <mergeCell ref="G16:H18"/>
    <mergeCell ref="I16:J18"/>
    <mergeCell ref="G19:H21"/>
    <mergeCell ref="I19:J21"/>
    <mergeCell ref="D25:E26"/>
    <mergeCell ref="D27:E28"/>
    <mergeCell ref="D29:E30"/>
    <mergeCell ref="B29:B30"/>
    <mergeCell ref="C29:C30"/>
    <mergeCell ref="D19:E20"/>
    <mergeCell ref="D21:E22"/>
    <mergeCell ref="D23:E24"/>
    <mergeCell ref="B19:B20"/>
    <mergeCell ref="C19:C20"/>
    <mergeCell ref="B21:B22"/>
    <mergeCell ref="C21:C22"/>
    <mergeCell ref="D15:E16"/>
    <mergeCell ref="D17:E18"/>
    <mergeCell ref="B15:B16"/>
    <mergeCell ref="C15:C16"/>
    <mergeCell ref="B17:B18"/>
    <mergeCell ref="C17:C18"/>
    <mergeCell ref="G7:I8"/>
    <mergeCell ref="B10:C11"/>
    <mergeCell ref="D10:E11"/>
    <mergeCell ref="G10:H11"/>
    <mergeCell ref="I10:J11"/>
    <mergeCell ref="B12:C13"/>
    <mergeCell ref="D12:E13"/>
    <mergeCell ref="G12:H13"/>
    <mergeCell ref="I12:J13"/>
    <mergeCell ref="C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dcterms:created xsi:type="dcterms:W3CDTF">2025-07-27T10:18:42Z</dcterms:created>
  <dcterms:modified xsi:type="dcterms:W3CDTF">2025-07-27T11:35:36Z</dcterms:modified>
</cp:coreProperties>
</file>